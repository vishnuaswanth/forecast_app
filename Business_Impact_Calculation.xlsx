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urvey Calculator" sheetId="1" state="visible" r:id="rId1"/>
    <sheet name="Formula Guide" sheetId="2" state="visible" r:id="rId2"/>
    <sheet name="Impact Estimation Detail" sheetId="3" state="visible" r:id="rId3"/>
  </sheets>
  <definedNames/>
  <calcPr calcId="191028" fullCalcOnLoad="1" forceFullCalc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\$#,##0.00;[Red]\(\$#,##0.00\);\-"/>
    <numFmt numFmtId="166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666666"/>
      <sz val="11"/>
    </font>
    <font>
      <name val="Calibri"/>
      <b val="1"/>
      <color rgb="FFFFFFFF"/>
      <sz val="11"/>
    </font>
    <font>
      <name val="Calibri"/>
      <color rgb="FF0000FF"/>
      <sz val="11"/>
    </font>
    <font>
      <name val="Calibri"/>
      <color rgb="FF000000"/>
      <sz val="11"/>
    </font>
    <font>
      <name val="Calibri"/>
      <b val="1"/>
      <color rgb="FFFFFFFF"/>
      <sz val="13"/>
    </font>
    <font>
      <name val="Calibri"/>
      <b val="1"/>
      <sz val="11"/>
    </font>
    <font>
      <name val="Calibri"/>
      <family val="2"/>
      <color rgb="FF0000FF"/>
      <sz val="11"/>
    </font>
    <font>
      <b val="1"/>
      <color rgb="00FFFFFF"/>
      <sz val="13"/>
    </font>
    <font>
      <i val="1"/>
      <sz val="10"/>
    </font>
    <font>
      <b val="1"/>
      <color rgb="001F4E78"/>
      <sz val="12"/>
    </font>
    <font>
      <b val="1"/>
    </font>
  </fonts>
  <fills count="11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top" wrapText="1"/>
    </xf>
    <xf numFmtId="164" fontId="4" fillId="3" borderId="2" applyAlignment="1" pivotButton="0" quotePrefix="0" xfId="0">
      <alignment vertical="top" wrapText="1"/>
    </xf>
    <xf numFmtId="164" fontId="5" fillId="4" borderId="2" applyAlignment="1" pivotButton="0" quotePrefix="0" xfId="0">
      <alignment vertical="top" wrapText="1"/>
    </xf>
    <xf numFmtId="165" fontId="4" fillId="3" borderId="2" applyAlignment="1" pivotButton="0" quotePrefix="0" xfId="0">
      <alignment vertical="top" wrapText="1"/>
    </xf>
    <xf numFmtId="165" fontId="5" fillId="4" borderId="2" applyAlignment="1" pivotButton="0" quotePrefix="0" xfId="0">
      <alignment vertical="top" wrapText="1"/>
    </xf>
    <xf numFmtId="166" fontId="5" fillId="4" borderId="2" applyAlignment="1" pivotButton="0" quotePrefix="0" xfId="0">
      <alignment vertical="top" wrapText="1"/>
    </xf>
    <xf numFmtId="0" fontId="7" fillId="5" borderId="2" pivotButton="0" quotePrefix="0" xfId="0"/>
    <xf numFmtId="164" fontId="0" fillId="4" borderId="2" pivotButton="0" quotePrefix="0" xfId="0"/>
    <xf numFmtId="165" fontId="0" fillId="4" borderId="2" pivotButton="0" quotePrefix="0" xfId="0"/>
    <xf numFmtId="166" fontId="0" fillId="4" borderId="2" pivotButton="0" quotePrefix="0" xfId="0"/>
    <xf numFmtId="0" fontId="7" fillId="4" borderId="2" pivotButton="0" quotePrefix="0" xfId="0"/>
    <xf numFmtId="0" fontId="7" fillId="3" borderId="2" pivotButton="0" quotePrefix="0" xfId="0"/>
    <xf numFmtId="0" fontId="8" fillId="3" borderId="2" applyAlignment="1" pivotButton="0" quotePrefix="0" xfId="0">
      <alignment vertical="top" wrapText="1"/>
    </xf>
    <xf numFmtId="0" fontId="6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6" borderId="2" applyAlignment="1" pivotButton="0" quotePrefix="0" xfId="0">
      <alignment wrapText="1"/>
    </xf>
    <xf numFmtId="0" fontId="0" fillId="0" borderId="2" pivotButton="0" quotePrefix="0" xfId="0"/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5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6" fillId="2" borderId="0" pivotButton="0" quotePrefix="0" xfId="0"/>
    <xf numFmtId="0" fontId="0" fillId="4" borderId="2" applyAlignment="1" pivotButton="0" quotePrefix="0" xfId="0">
      <alignment vertical="top" wrapText="1"/>
    </xf>
    <xf numFmtId="164" fontId="8" fillId="3" borderId="2" applyAlignment="1" pivotButton="0" quotePrefix="0" xfId="0">
      <alignment vertical="top" wrapText="1"/>
    </xf>
    <xf numFmtId="0" fontId="9" fillId="7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4" fontId="12" fillId="8" borderId="0" pivotButton="0" quotePrefix="0" xfId="0"/>
    <xf numFmtId="4" fontId="0" fillId="0" borderId="0" pivotButton="0" quotePrefix="0" xfId="0"/>
    <xf numFmtId="166" fontId="12" fillId="8" borderId="0" pivotButton="0" quotePrefix="0" xfId="0"/>
    <xf numFmtId="166" fontId="0" fillId="0" borderId="0" pivotButton="0" quotePrefix="0" xfId="0"/>
    <xf numFmtId="0" fontId="12" fillId="9" borderId="0" pivotButton="0" quotePrefix="0" xfId="0"/>
    <xf numFmtId="0" fontId="12" fillId="8" borderId="0" pivotButton="0" quotePrefix="0" xfId="0"/>
    <xf numFmtId="0" fontId="0" fillId="10" borderId="0" pivotButton="0" quotePrefix="0" xfId="0"/>
    <xf numFmtId="0" fontId="0" fillId="9" borderId="0" pivotButton="0" quotePrefix="0" xfId="0"/>
  </cellXfs>
  <cellStyles count="1">
    <cellStyle name="Normal" xfId="0" builtinId="0"/>
  </cellStyles>
  <dxfs count="8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Copilot</author>
  </authors>
  <commentList>
    <comment ref="G4" authorId="0" shapeId="0">
      <text>
        <t>Time Saved = (Effort Before Improvement - Effort After Improvement) x Frequency per month</t>
      </text>
    </comment>
    <comment ref="I4" authorId="0" shapeId="0">
      <text>
        <t>Cost Impact = Time Saved x Hourly Rate. Default hourly rate is $4.</t>
      </text>
    </comment>
    <comment ref="J4" authorId="0" shapeId="0">
      <text>
        <t>Annual Cost Impact = Monthly Cost Impact x 12.</t>
      </text>
    </comment>
    <comment ref="M4" authorId="0" shapeId="0">
      <text>
        <t>Error Reduction % = (Errors Before - Errors After) / Errors Before.</t>
      </text>
    </comment>
    <comment ref="P4" authorId="0" shapeId="0">
      <text>
        <t>SLA/TAT Improvement % = (Old TAT - New TAT) / Old TAT. Use same unit for old and new TAT.</t>
      </text>
    </comment>
  </commentList>
</comments>
</file>

<file path=xl/tables/table1.xml><?xml version="1.0" encoding="utf-8"?>
<table xmlns="http://schemas.openxmlformats.org/spreadsheetml/2006/main" id="1" name="BusinessImpactTable" displayName="BusinessImpactTable" ref="A4:P19" headerRowCount="1">
  <autoFilter ref="A4:P19">
    <filterColumn colId="2" hiddenButton="0" showButton="1">
      <filters>
        <filter val="Improved request turnaround time"/>
      </filters>
    </filterColumn>
  </autoFilter>
  <tableColumns count="16">
    <tableColumn id="1" name="Project / Initiative"/>
    <tableColumn id="2" name="Impact Area"/>
    <tableColumn id="3" name="Brief Description"/>
    <tableColumn id="4" name="Effort Before Improvement (hrs)"/>
    <tableColumn id="5" name="Effort After Improvement (hrs)"/>
    <tableColumn id="6" name="Frequency (per month)"/>
    <tableColumn id="7" name="Time Saved (hrs/month)"/>
    <tableColumn id="8" name="Hourly Rate ($)"/>
    <tableColumn id="9" name="Cost Impact ($/month)"/>
    <tableColumn id="10" name="Annual Cost Impact ($)"/>
    <tableColumn id="11" name="Errors Before"/>
    <tableColumn id="12" name="Errors After"/>
    <tableColumn id="13" name="Error Reduction (%)"/>
    <tableColumn id="14" name="Old TAT"/>
    <tableColumn id="15" name="New TAT"/>
    <tableColumn id="16" name="SLA / TAT Improvement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showGridLines="0" tabSelected="1" workbookViewId="0">
      <pane ySplit="4" topLeftCell="A7" activePane="bottomLeft" state="frozen"/>
      <selection pane="bottomLeft" activeCell="A1" sqref="A1:P1"/>
    </sheetView>
  </sheetViews>
  <sheetFormatPr baseColWidth="8" defaultRowHeight="14.4"/>
  <cols>
    <col width="24" customWidth="1" style="16" min="1" max="1"/>
    <col width="20" customWidth="1" style="16" min="2" max="2"/>
    <col width="34" customWidth="1" style="16" min="3" max="3"/>
    <col width="18" customWidth="1" style="16" min="4" max="7"/>
    <col width="14" customWidth="1" style="16" min="8" max="8"/>
    <col width="18" customWidth="1" style="16" min="9" max="10"/>
    <col width="14" customWidth="1" style="16" min="11" max="12"/>
    <col width="18" customWidth="1" style="16" min="13" max="13"/>
    <col width="12" customWidth="1" style="16" min="14" max="15"/>
    <col width="20" customWidth="1" style="16" min="16" max="16"/>
  </cols>
  <sheetData>
    <row r="1" ht="27.9" customHeight="1" s="16">
      <c r="A1" s="17" t="inlineStr">
        <is>
          <t xml:space="preserve">Business Impact - Delivery Analytics </t>
        </is>
      </c>
    </row>
    <row r="2">
      <c r="A2" s="20" t="inlineStr">
        <is>
          <t>Enter values in blue cells. Gray cells contain formulas. Default hourly rate is $4.</t>
        </is>
      </c>
    </row>
    <row r="4" ht="60.6" customHeight="1" s="16">
      <c r="A4" s="1" t="inlineStr">
        <is>
          <t>Project / Initiative</t>
        </is>
      </c>
      <c r="B4" s="1" t="inlineStr">
        <is>
          <t>Impact Area</t>
        </is>
      </c>
      <c r="C4" s="1" t="inlineStr">
        <is>
          <t>Brief Description</t>
        </is>
      </c>
      <c r="D4" s="1" t="inlineStr">
        <is>
          <t>Effort Before Improvement (hrs)</t>
        </is>
      </c>
      <c r="E4" s="1" t="inlineStr">
        <is>
          <t>Effort After Improvement (hrs)</t>
        </is>
      </c>
      <c r="F4" s="1" t="inlineStr">
        <is>
          <t>Frequency (per month)</t>
        </is>
      </c>
      <c r="G4" s="1" t="inlineStr">
        <is>
          <t>Time Saved (hrs/month)</t>
        </is>
      </c>
      <c r="H4" s="1" t="inlineStr">
        <is>
          <t>Hourly Rate ($)</t>
        </is>
      </c>
      <c r="I4" s="1" t="inlineStr">
        <is>
          <t>Cost Impact ($/month)</t>
        </is>
      </c>
      <c r="J4" s="1" t="inlineStr">
        <is>
          <t>Annual Cost Impact ($)</t>
        </is>
      </c>
      <c r="K4" s="1" t="inlineStr">
        <is>
          <t>Errors Before</t>
        </is>
      </c>
      <c r="L4" s="1" t="inlineStr">
        <is>
          <t>Errors After</t>
        </is>
      </c>
      <c r="M4" s="1" t="inlineStr">
        <is>
          <t>Error Reduction (%)</t>
        </is>
      </c>
      <c r="N4" s="1" t="inlineStr">
        <is>
          <t>Old TAT</t>
        </is>
      </c>
      <c r="O4" s="1" t="inlineStr">
        <is>
          <t>New TAT</t>
        </is>
      </c>
      <c r="P4" s="1" t="inlineStr">
        <is>
          <t>SLA / TAT Improvement (%)</t>
        </is>
      </c>
    </row>
    <row r="5" hidden="1" ht="42" customHeight="1" s="16">
      <c r="A5" s="2" t="inlineStr">
        <is>
          <t>Centene Forecasting App - Capacity/Forecast Allocation Reporting</t>
        </is>
      </c>
      <c r="B5" s="2" t="inlineStr">
        <is>
          <t>Effort Reduction &amp; TAT Improvement</t>
        </is>
      </c>
      <c r="C5" s="2" t="inlineStr">
        <is>
          <t>Automates monthly forecast/capacity allocation reporting: replaces manual Excel data cleaning, allocation calculation, cross-team data gathering (current + 6-month forecast), and the multi-stakeholder decision meeting with app-driven dashboards and automated calculations. Figures reflect a frequency-weighted projection — see "Impact Estimation Detail" sheet for the full best/worst/ideal breakdown.</t>
        </is>
      </c>
      <c r="D5" s="3">
        <f>'Impact Estimation Detail'!B27</f>
        <v/>
      </c>
      <c r="E5" s="3">
        <f>'Impact Estimation Detail'!C27</f>
        <v/>
      </c>
      <c r="F5" s="3" t="n">
        <v>1</v>
      </c>
      <c r="G5" s="4">
        <f>MAX((D5-E5)*F5,0)</f>
        <v/>
      </c>
      <c r="H5" s="5" t="n">
        <v>4</v>
      </c>
      <c r="I5" s="6">
        <f>G5*H5</f>
        <v/>
      </c>
      <c r="J5" s="6">
        <f>I5*12</f>
        <v/>
      </c>
      <c r="K5" s="3" t="n"/>
      <c r="L5" s="3" t="n"/>
      <c r="M5" s="7">
        <f>IFERROR((K5-L5)/K5,"")</f>
        <v/>
      </c>
      <c r="N5" s="3">
        <f>'Impact Estimation Detail'!G27</f>
        <v/>
      </c>
      <c r="O5" s="3">
        <f>'Impact Estimation Detail'!H27</f>
        <v/>
      </c>
      <c r="P5" s="7">
        <f>IFERROR((N5-O5)/N5,"")</f>
        <v/>
      </c>
    </row>
    <row r="6" hidden="1" ht="42" customHeight="1" s="16">
      <c r="A6" s="2" t="n"/>
      <c r="B6" s="2" t="n"/>
      <c r="C6" s="2" t="n"/>
      <c r="D6" s="3" t="n"/>
      <c r="E6" s="3" t="n"/>
      <c r="F6" s="3" t="n"/>
      <c r="G6" s="4">
        <f>MAX((D6-E6)*F6,0)</f>
        <v/>
      </c>
      <c r="H6" s="5" t="n"/>
      <c r="I6" s="6">
        <f>G6*H6</f>
        <v/>
      </c>
      <c r="J6" s="6">
        <f>I6*12</f>
        <v/>
      </c>
      <c r="K6" s="3" t="n"/>
      <c r="L6" s="3" t="n"/>
      <c r="M6" s="7">
        <f>IFERROR((K6-L6)/K6,"")</f>
        <v/>
      </c>
      <c r="N6" s="3" t="n"/>
      <c r="O6" s="3" t="n"/>
      <c r="P6" s="7">
        <f>IFERROR((N6-O6)/N6,"")</f>
        <v/>
      </c>
    </row>
    <row r="7" ht="42" customHeight="1" s="16">
      <c r="A7" s="2" t="n"/>
      <c r="B7" s="2" t="n"/>
      <c r="C7" s="2" t="n"/>
      <c r="D7" s="26" t="n">
        <v>0</v>
      </c>
      <c r="E7" s="26" t="n">
        <v>0</v>
      </c>
      <c r="F7" s="26" t="n">
        <v>0</v>
      </c>
      <c r="G7" s="4">
        <f>MAX((D7-E7)*F7,0)</f>
        <v/>
      </c>
      <c r="H7" s="5" t="n">
        <v>4</v>
      </c>
      <c r="I7" s="6">
        <f>G7*H7</f>
        <v/>
      </c>
      <c r="J7" s="6">
        <f>I7*12</f>
        <v/>
      </c>
      <c r="K7" s="3" t="n"/>
      <c r="L7" s="3" t="n"/>
      <c r="M7" s="7">
        <f>IFERROR((K7-L7)/K7,"")</f>
        <v/>
      </c>
      <c r="N7" s="3" t="n">
        <v>0</v>
      </c>
      <c r="O7" s="3" t="n">
        <v>0</v>
      </c>
      <c r="P7" s="7">
        <f>IFERROR((N7-O7)/N7,"")</f>
        <v/>
      </c>
    </row>
    <row r="8" hidden="1" ht="42" customHeight="1" s="16">
      <c r="A8" s="2" t="n"/>
      <c r="B8" s="2" t="n"/>
      <c r="C8" s="2" t="n"/>
      <c r="D8" s="3" t="n"/>
      <c r="E8" s="3" t="n"/>
      <c r="F8" s="3" t="n"/>
      <c r="G8" s="4">
        <f>MAX((D8-E8)*F8,0)</f>
        <v/>
      </c>
      <c r="H8" s="5" t="n">
        <v>4</v>
      </c>
      <c r="I8" s="6">
        <f>G8*H8</f>
        <v/>
      </c>
      <c r="J8" s="6">
        <f>I8*12</f>
        <v/>
      </c>
      <c r="K8" s="3" t="n"/>
      <c r="L8" s="3" t="n"/>
      <c r="M8" s="7">
        <f>IFERROR((K8-L8)/K8,"")</f>
        <v/>
      </c>
      <c r="N8" s="3" t="n"/>
      <c r="O8" s="3" t="n"/>
      <c r="P8" s="7">
        <f>IFERROR((N8-O8)/N8,"")</f>
        <v/>
      </c>
    </row>
    <row r="9" hidden="1" ht="42" customHeight="1" s="16">
      <c r="A9" s="2" t="n"/>
      <c r="B9" s="2" t="n"/>
      <c r="C9" s="2" t="n"/>
      <c r="D9" s="3" t="n"/>
      <c r="E9" s="3" t="n"/>
      <c r="F9" s="3" t="n"/>
      <c r="G9" s="4">
        <f>MAX((D9-E9)*F9,0)</f>
        <v/>
      </c>
      <c r="H9" s="5" t="n">
        <v>4</v>
      </c>
      <c r="I9" s="6">
        <f>G9*H9</f>
        <v/>
      </c>
      <c r="J9" s="6">
        <f>I9*12</f>
        <v/>
      </c>
      <c r="K9" s="3" t="n"/>
      <c r="L9" s="3" t="n"/>
      <c r="M9" s="7">
        <f>IFERROR((K9-L9)/K9,"")</f>
        <v/>
      </c>
      <c r="N9" s="3" t="n"/>
      <c r="O9" s="3" t="n"/>
      <c r="P9" s="7">
        <f>IFERROR((N9-O9)/N9,"")</f>
        <v/>
      </c>
    </row>
    <row r="10" hidden="1" ht="42" customHeight="1" s="16">
      <c r="A10" s="2" t="n"/>
      <c r="B10" s="2" t="n"/>
      <c r="C10" s="2" t="n"/>
      <c r="D10" s="3" t="n"/>
      <c r="E10" s="3" t="n"/>
      <c r="F10" s="3" t="n"/>
      <c r="G10" s="4">
        <f>MAX((D10-E10)*F10,0)</f>
        <v/>
      </c>
      <c r="H10" s="5" t="n">
        <v>4</v>
      </c>
      <c r="I10" s="6">
        <f>G10*H10</f>
        <v/>
      </c>
      <c r="J10" s="6">
        <f>I10*12</f>
        <v/>
      </c>
      <c r="K10" s="3" t="n"/>
      <c r="L10" s="3" t="n"/>
      <c r="M10" s="7">
        <f>IFERROR((K10-L10)/K10,"")</f>
        <v/>
      </c>
      <c r="N10" s="3" t="n"/>
      <c r="O10" s="3" t="n"/>
      <c r="P10" s="7">
        <f>IFERROR((N10-O10)/N10,"")</f>
        <v/>
      </c>
    </row>
    <row r="11" hidden="1" ht="42" customHeight="1" s="16">
      <c r="A11" s="14" t="n"/>
      <c r="B11" s="2" t="n"/>
      <c r="C11" s="2" t="n"/>
      <c r="D11" s="3" t="n"/>
      <c r="E11" s="3" t="n"/>
      <c r="F11" s="3" t="n"/>
      <c r="G11" s="4">
        <f>MAX((D11-E11)*F11,0)</f>
        <v/>
      </c>
      <c r="H11" s="5" t="n">
        <v>4</v>
      </c>
      <c r="I11" s="6">
        <f>G11*H11</f>
        <v/>
      </c>
      <c r="J11" s="6">
        <f>I11*12</f>
        <v/>
      </c>
      <c r="K11" s="3" t="n"/>
      <c r="L11" s="3" t="n"/>
      <c r="M11" s="7">
        <f>IFERROR((K11-L11)/K11,"")</f>
        <v/>
      </c>
      <c r="N11" s="3" t="n"/>
      <c r="O11" s="3" t="n"/>
      <c r="P11" s="7">
        <f>IFERROR((N11-O11)/N11,"")</f>
        <v/>
      </c>
    </row>
    <row r="12" hidden="1" ht="42" customHeight="1" s="16">
      <c r="A12" s="2" t="n"/>
      <c r="B12" s="2" t="n"/>
      <c r="C12" s="2" t="n"/>
      <c r="D12" s="3" t="n"/>
      <c r="E12" s="3" t="n"/>
      <c r="F12" s="3" t="n"/>
      <c r="G12" s="4">
        <f>MAX((D12-E12)*F12,0)</f>
        <v/>
      </c>
      <c r="H12" s="5" t="n">
        <v>4</v>
      </c>
      <c r="I12" s="6">
        <f>G12*H12</f>
        <v/>
      </c>
      <c r="J12" s="6">
        <f>I12*12</f>
        <v/>
      </c>
      <c r="K12" s="3" t="n"/>
      <c r="L12" s="3" t="n"/>
      <c r="M12" s="7">
        <f>IFERROR((K12-L12)/K12,"")</f>
        <v/>
      </c>
      <c r="N12" s="3" t="n"/>
      <c r="O12" s="3" t="n"/>
      <c r="P12" s="7">
        <f>IFERROR((N12-O12)/N12,"")</f>
        <v/>
      </c>
    </row>
    <row r="13" hidden="1" ht="42" customHeight="1" s="16">
      <c r="A13" s="2" t="n"/>
      <c r="B13" s="2" t="n"/>
      <c r="C13" s="2" t="n"/>
      <c r="D13" s="3" t="n"/>
      <c r="E13" s="3" t="n"/>
      <c r="F13" s="3" t="n"/>
      <c r="G13" s="4">
        <f>MAX((D13-E13)*F13,0)</f>
        <v/>
      </c>
      <c r="H13" s="5" t="n">
        <v>4</v>
      </c>
      <c r="I13" s="6">
        <f>G13*H13</f>
        <v/>
      </c>
      <c r="J13" s="6">
        <f>I13*12</f>
        <v/>
      </c>
      <c r="K13" s="3" t="n"/>
      <c r="L13" s="3" t="n"/>
      <c r="M13" s="7">
        <f>IFERROR((K13-L13)/K13,"")</f>
        <v/>
      </c>
      <c r="N13" s="3" t="n"/>
      <c r="O13" s="3" t="n"/>
      <c r="P13" s="7">
        <f>IFERROR((N13-O13)/N13,"")</f>
        <v/>
      </c>
    </row>
    <row r="14" hidden="1" ht="42" customHeight="1" s="16">
      <c r="A14" s="2" t="n"/>
      <c r="B14" s="2" t="n"/>
      <c r="C14" s="2" t="n"/>
      <c r="D14" s="3" t="n"/>
      <c r="E14" s="3" t="n"/>
      <c r="F14" s="3" t="n"/>
      <c r="G14" s="4">
        <f>MAX((D14-E14)*F14,0)</f>
        <v/>
      </c>
      <c r="H14" s="5" t="n">
        <v>4</v>
      </c>
      <c r="I14" s="6">
        <f>G14*H14</f>
        <v/>
      </c>
      <c r="J14" s="6">
        <f>I14*12</f>
        <v/>
      </c>
      <c r="K14" s="3" t="n"/>
      <c r="L14" s="3" t="n"/>
      <c r="M14" s="7">
        <f>IFERROR((K14-L14)/K14,"")</f>
        <v/>
      </c>
      <c r="N14" s="3" t="n"/>
      <c r="O14" s="3" t="n"/>
      <c r="P14" s="7">
        <f>IFERROR((N14-O14)/N14,"")</f>
        <v/>
      </c>
    </row>
    <row r="15" hidden="1" ht="42" customHeight="1" s="16">
      <c r="A15" s="2" t="n"/>
      <c r="B15" s="2" t="n"/>
      <c r="C15" s="2" t="n"/>
      <c r="D15" s="3" t="n"/>
      <c r="E15" s="3" t="n"/>
      <c r="F15" s="3" t="n"/>
      <c r="G15" s="4">
        <f>MAX((D15-E15)*F15,0)</f>
        <v/>
      </c>
      <c r="H15" s="5" t="n">
        <v>4</v>
      </c>
      <c r="I15" s="6">
        <f>G15*H15</f>
        <v/>
      </c>
      <c r="J15" s="6">
        <f>I15*12</f>
        <v/>
      </c>
      <c r="K15" s="3" t="n"/>
      <c r="L15" s="3" t="n"/>
      <c r="M15" s="7">
        <f>IFERROR((K15-L15)/K15,"")</f>
        <v/>
      </c>
      <c r="N15" s="3" t="n"/>
      <c r="O15" s="3" t="n"/>
      <c r="P15" s="7">
        <f>IFERROR((N15-O15)/N15,"")</f>
        <v/>
      </c>
    </row>
    <row r="16" hidden="1" ht="42" customHeight="1" s="16">
      <c r="A16" s="2" t="n"/>
      <c r="B16" s="2" t="n"/>
      <c r="C16" s="2" t="n"/>
      <c r="D16" s="3" t="n"/>
      <c r="E16" s="3" t="n"/>
      <c r="F16" s="3" t="n"/>
      <c r="G16" s="4">
        <f>MAX((D16-E16)*F16,0)</f>
        <v/>
      </c>
      <c r="H16" s="5" t="n">
        <v>4</v>
      </c>
      <c r="I16" s="6">
        <f>G16*H16</f>
        <v/>
      </c>
      <c r="J16" s="6">
        <f>I16*12</f>
        <v/>
      </c>
      <c r="K16" s="3" t="n"/>
      <c r="L16" s="3" t="n"/>
      <c r="M16" s="7">
        <f>IFERROR((K16-L16)/K16,"")</f>
        <v/>
      </c>
      <c r="N16" s="3" t="n"/>
      <c r="O16" s="3" t="n"/>
      <c r="P16" s="7">
        <f>IFERROR((N16-O16)/N16,"")</f>
        <v/>
      </c>
    </row>
    <row r="17" hidden="1" ht="42" customHeight="1" s="16">
      <c r="A17" s="2" t="n"/>
      <c r="B17" s="2" t="n"/>
      <c r="C17" s="2" t="n"/>
      <c r="D17" s="3" t="n"/>
      <c r="E17" s="3" t="n"/>
      <c r="F17" s="3" t="n"/>
      <c r="G17" s="4">
        <f>MAX((D17-E17)*F17,0)</f>
        <v/>
      </c>
      <c r="H17" s="5" t="n">
        <v>4</v>
      </c>
      <c r="I17" s="6">
        <f>G17*H17</f>
        <v/>
      </c>
      <c r="J17" s="6">
        <f>I17*12</f>
        <v/>
      </c>
      <c r="K17" s="3" t="n"/>
      <c r="L17" s="3" t="n"/>
      <c r="M17" s="7">
        <f>IFERROR((K17-L17)/K17,"")</f>
        <v/>
      </c>
      <c r="N17" s="3" t="n"/>
      <c r="O17" s="3" t="n"/>
      <c r="P17" s="7">
        <f>IFERROR((N17-O17)/N17,"")</f>
        <v/>
      </c>
    </row>
    <row r="18" hidden="1" ht="42" customHeight="1" s="16">
      <c r="A18" s="2" t="n"/>
      <c r="B18" s="2" t="n"/>
      <c r="C18" s="2" t="n"/>
      <c r="D18" s="3" t="n"/>
      <c r="E18" s="3" t="n"/>
      <c r="F18" s="3" t="n"/>
      <c r="G18" s="4">
        <f>MAX((D18-E18)*F18,0)</f>
        <v/>
      </c>
      <c r="H18" s="5" t="n">
        <v>4</v>
      </c>
      <c r="I18" s="6">
        <f>G18*H18</f>
        <v/>
      </c>
      <c r="J18" s="6">
        <f>I18*12</f>
        <v/>
      </c>
      <c r="K18" s="3" t="n"/>
      <c r="L18" s="3" t="n"/>
      <c r="M18" s="7">
        <f>IFERROR((K18-L18)/K18,"")</f>
        <v/>
      </c>
      <c r="N18" s="3" t="n"/>
      <c r="O18" s="3" t="n"/>
      <c r="P18" s="7">
        <f>IFERROR((N18-O18)/N18,"")</f>
        <v/>
      </c>
    </row>
    <row r="19" hidden="1" ht="42" customHeight="1" s="16">
      <c r="A19" s="2" t="n"/>
      <c r="B19" s="2" t="n"/>
      <c r="C19" s="2" t="n"/>
      <c r="D19" s="3" t="n"/>
      <c r="E19" s="3" t="n"/>
      <c r="F19" s="3" t="n"/>
      <c r="G19" s="4">
        <f>MAX((D19-E19)*F19,0)</f>
        <v/>
      </c>
      <c r="H19" s="5" t="n">
        <v>4</v>
      </c>
      <c r="I19" s="6">
        <f>G19*H19</f>
        <v/>
      </c>
      <c r="J19" s="6">
        <f>I19*12</f>
        <v/>
      </c>
      <c r="K19" s="3" t="n"/>
      <c r="L19" s="3" t="n"/>
      <c r="M19" s="7">
        <f>IFERROR((K19-L19)/K19,"")</f>
        <v/>
      </c>
      <c r="N19" s="3" t="n"/>
      <c r="O19" s="3" t="n"/>
      <c r="P19" s="7">
        <f>IFERROR((N19-O19)/N19,"")</f>
        <v/>
      </c>
    </row>
    <row r="22" ht="17.4" customHeight="1" s="16">
      <c r="A22" s="15" t="inlineStr">
        <is>
          <t>Summary</t>
        </is>
      </c>
      <c r="E22" s="15" t="inlineStr">
        <is>
          <t>How to Use</t>
        </is>
      </c>
    </row>
    <row r="23">
      <c r="A23" s="8" t="inlineStr">
        <is>
          <t>Total Time Saved (hrs/month)</t>
        </is>
      </c>
      <c r="B23" s="9">
        <f>SUM(G5:G19)</f>
        <v/>
      </c>
      <c r="E23" s="18" t="inlineStr">
        <is>
          <t>• Fill Effort Before and Effort After in hours.</t>
        </is>
      </c>
      <c r="F23" s="19" t="n"/>
      <c r="G23" s="19" t="n"/>
      <c r="H23" s="19" t="n"/>
      <c r="I23" s="19" t="n"/>
    </row>
    <row r="24">
      <c r="A24" s="8" t="inlineStr">
        <is>
          <t>Total Cost Impact ($/month)</t>
        </is>
      </c>
      <c r="B24" s="10">
        <f>SUM(I5:I19)</f>
        <v/>
      </c>
      <c r="E24" s="18" t="inlineStr">
        <is>
          <t>• Frequency should be monthly—for one-time work, enter 1.</t>
        </is>
      </c>
      <c r="F24" s="19" t="n"/>
      <c r="G24" s="19" t="n"/>
      <c r="H24" s="19" t="n"/>
      <c r="I24" s="19" t="n"/>
    </row>
    <row r="25">
      <c r="A25" s="8" t="inlineStr">
        <is>
          <t>Annual Cost Impact ($)</t>
        </is>
      </c>
      <c r="B25" s="10">
        <f>SUM(J5:J19)</f>
        <v/>
      </c>
      <c r="E25" s="18" t="inlineStr">
        <is>
          <t>• Keep Hourly Rate as $4 unless advised otherwise.</t>
        </is>
      </c>
      <c r="F25" s="19" t="n"/>
      <c r="G25" s="19" t="n"/>
      <c r="H25" s="19" t="n"/>
      <c r="I25" s="19" t="n"/>
    </row>
    <row r="26">
      <c r="A26" s="8" t="inlineStr">
        <is>
          <t>Average Error Reduction (%)</t>
        </is>
      </c>
      <c r="B26" s="11">
        <f>IFERROR(AVERAGE(M5:M19),"")</f>
        <v/>
      </c>
      <c r="E26" s="18" t="inlineStr">
        <is>
          <t>• Use the same unit for Old TAT and New TAT, e.g., both in days or both in hours.</t>
        </is>
      </c>
      <c r="F26" s="19" t="n"/>
      <c r="G26" s="19" t="n"/>
      <c r="H26" s="19" t="n"/>
      <c r="I26" s="19" t="n"/>
    </row>
    <row r="27">
      <c r="A27" s="8" t="inlineStr">
        <is>
          <t>Average SLA / TAT Improvement (%)</t>
        </is>
      </c>
      <c r="B27" s="11">
        <f>IFERROR(AVERAGE(P5:P19),"")</f>
        <v/>
      </c>
      <c r="E27" s="18" t="inlineStr">
        <is>
          <t>• If a metric does not apply, leave the related input cells blank.</t>
        </is>
      </c>
      <c r="F27" s="19" t="n"/>
      <c r="G27" s="19" t="n"/>
      <c r="H27" s="19" t="n"/>
      <c r="I27" s="19" t="n"/>
    </row>
    <row r="29">
      <c r="A29" t="inlineStr">
        <is>
          <t>Note: Post-implementation ("After") figures are projected estimates from a team walkthrough of the current manual process, weighted for edge-case frequency (see "Impact Estimation Detail" sheet). The application is not yet deployed to production, so these are not yet measured/actual results.</t>
        </is>
      </c>
    </row>
  </sheetData>
  <mergeCells count="9">
    <mergeCell ref="A22:D22"/>
    <mergeCell ref="A1:P1"/>
    <mergeCell ref="E24:I24"/>
    <mergeCell ref="E25:I25"/>
    <mergeCell ref="E27:I27"/>
    <mergeCell ref="E23:I23"/>
    <mergeCell ref="E22:I22"/>
    <mergeCell ref="E26:I26"/>
    <mergeCell ref="A2:P2"/>
  </mergeCells>
  <conditionalFormatting sqref="D5:D19">
    <cfRule type="cellIs" priority="1" operator="lessThan" dxfId="0">
      <formula>0</formula>
    </cfRule>
  </conditionalFormatting>
  <conditionalFormatting sqref="E5:E19">
    <cfRule type="cellIs" priority="2" operator="lessThan" dxfId="0">
      <formula>0</formula>
    </cfRule>
  </conditionalFormatting>
  <conditionalFormatting sqref="F5:F19">
    <cfRule type="cellIs" priority="3" operator="lessThan" dxfId="0">
      <formula>0</formula>
    </cfRule>
  </conditionalFormatting>
  <conditionalFormatting sqref="H5:H19">
    <cfRule type="cellIs" priority="4" operator="lessThan" dxfId="0">
      <formula>0</formula>
    </cfRule>
  </conditionalFormatting>
  <conditionalFormatting sqref="K5:K19">
    <cfRule type="cellIs" priority="5" operator="lessThan" dxfId="0">
      <formula>0</formula>
    </cfRule>
  </conditionalFormatting>
  <conditionalFormatting sqref="L5:L19">
    <cfRule type="cellIs" priority="6" operator="lessThan" dxfId="0">
      <formula>0</formula>
    </cfRule>
  </conditionalFormatting>
  <conditionalFormatting sqref="N5:N19">
    <cfRule type="cellIs" priority="7" operator="lessThan" dxfId="0">
      <formula>0</formula>
    </cfRule>
  </conditionalFormatting>
  <conditionalFormatting sqref="O5:O19">
    <cfRule type="cellIs" priority="8" operator="lessThan" dxfId="0">
      <formula>0</formula>
    </cfRule>
  </conditionalFormatting>
  <dataValidations count="1">
    <dataValidation sqref="B5:B19" showDropDown="0" showInputMessage="0" showErrorMessage="0" allowBlank="1" type="list">
      <formula1>"Effort Reduction,Cost Reduction,Error Reduction,SLA Improvement,Quality Improvement,Revenue Impact,Productivity Improvement,Automation"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B22" sqref="B22"/>
    </sheetView>
  </sheetViews>
  <sheetFormatPr baseColWidth="8" defaultRowHeight="14.4"/>
  <cols>
    <col width="20" customWidth="1" style="16" min="1" max="1"/>
    <col width="35" customWidth="1" style="16" min="2" max="2"/>
    <col width="18" customWidth="1" style="16" min="3" max="6"/>
  </cols>
  <sheetData>
    <row r="1" ht="36" customHeight="1" s="16">
      <c r="A1" s="21" t="inlineStr">
        <is>
          <t>Formula Guide for Team Survey</t>
        </is>
      </c>
    </row>
    <row r="2" ht="36" customHeight="1" s="16"/>
    <row r="3" ht="36" customHeight="1" s="16">
      <c r="A3" s="24" t="inlineStr">
        <is>
          <t>1. Time Saved</t>
        </is>
      </c>
    </row>
    <row r="4" ht="36" customHeight="1" s="16">
      <c r="A4" s="12" t="inlineStr">
        <is>
          <t>Formula</t>
        </is>
      </c>
      <c r="B4" s="25" t="inlineStr">
        <is>
          <t>Time Saved (Hours) = (Effort Before Improvement - Effort After Improvement) x Frequency</t>
        </is>
      </c>
      <c r="C4" s="19" t="n"/>
      <c r="D4" s="19" t="n"/>
      <c r="E4" s="19" t="n"/>
      <c r="F4" s="19" t="n"/>
    </row>
    <row r="5" ht="36" customHeight="1" s="16">
      <c r="A5" s="13" t="inlineStr">
        <is>
          <t>Explanation</t>
        </is>
      </c>
      <c r="B5" s="23" t="inlineStr">
        <is>
          <t>Use this when the initiative reduced manual effort or processing time. Frequency means how many times the task is done in a month.</t>
        </is>
      </c>
      <c r="C5" s="19" t="n"/>
      <c r="D5" s="19" t="n"/>
      <c r="E5" s="19" t="n"/>
      <c r="F5" s="19" t="n"/>
    </row>
    <row r="6" ht="36" customHeight="1" s="16">
      <c r="A6" s="8" t="inlineStr">
        <is>
          <t>Example</t>
        </is>
      </c>
      <c r="B6" s="22" t="inlineStr">
        <is>
          <t>Example: Before = 10 hrs, After = 6 hrs, Frequency = 4 times/month. Time Saved = (10 - 6) x 4 = 16 hrs/month.</t>
        </is>
      </c>
      <c r="C6" s="19" t="n"/>
      <c r="D6" s="19" t="n"/>
      <c r="E6" s="19" t="n"/>
      <c r="F6" s="19" t="n"/>
    </row>
    <row r="7" ht="36" customHeight="1" s="16"/>
    <row r="8" ht="36" customHeight="1" s="16">
      <c r="A8" s="24" t="inlineStr">
        <is>
          <t>2. Cost Impact</t>
        </is>
      </c>
    </row>
    <row r="9" ht="36" customHeight="1" s="16">
      <c r="A9" s="12" t="inlineStr">
        <is>
          <t>Formula</t>
        </is>
      </c>
      <c r="B9" s="25" t="inlineStr">
        <is>
          <t>Cost Impact ($) = Time Saved x Hourly Rate</t>
        </is>
      </c>
      <c r="C9" s="19" t="n"/>
      <c r="D9" s="19" t="n"/>
      <c r="E9" s="19" t="n"/>
      <c r="F9" s="19" t="n"/>
    </row>
    <row r="10" ht="36" customHeight="1" s="16">
      <c r="A10" s="13" t="inlineStr">
        <is>
          <t>Explanation</t>
        </is>
      </c>
      <c r="B10" s="23" t="inlineStr">
        <is>
          <t>Use the default rate of $4 unless a different rate is agreed. This converts time saved into approximate financial impact.</t>
        </is>
      </c>
      <c r="C10" s="19" t="n"/>
      <c r="D10" s="19" t="n"/>
      <c r="E10" s="19" t="n"/>
      <c r="F10" s="19" t="n"/>
    </row>
    <row r="11" ht="36" customHeight="1" s="16">
      <c r="A11" s="8" t="inlineStr">
        <is>
          <t>Example</t>
        </is>
      </c>
      <c r="B11" s="22" t="inlineStr">
        <is>
          <t>Example: Time Saved = 16 hrs/month, Hourly Rate = $4. Cost Impact = 16 x 4 = $64/month.</t>
        </is>
      </c>
      <c r="C11" s="19" t="n"/>
      <c r="D11" s="19" t="n"/>
      <c r="E11" s="19" t="n"/>
      <c r="F11" s="19" t="n"/>
    </row>
    <row r="12" ht="36" customHeight="1" s="16"/>
    <row r="13" ht="36" customHeight="1" s="16">
      <c r="A13" s="24" t="inlineStr">
        <is>
          <t>3. Error Reduction</t>
        </is>
      </c>
    </row>
    <row r="14" ht="36" customHeight="1" s="16">
      <c r="A14" s="12" t="inlineStr">
        <is>
          <t>Formula</t>
        </is>
      </c>
      <c r="B14" s="25" t="inlineStr">
        <is>
          <t>Error Reduction (%) = ((Errors Before - Errors After) / Errors Before) x 100</t>
        </is>
      </c>
      <c r="C14" s="19" t="n"/>
      <c r="D14" s="19" t="n"/>
      <c r="E14" s="19" t="n"/>
      <c r="F14" s="19" t="n"/>
    </row>
    <row r="15" ht="36" customHeight="1" s="16">
      <c r="A15" s="13" t="inlineStr">
        <is>
          <t>Explanation</t>
        </is>
      </c>
      <c r="B15" s="23" t="inlineStr">
        <is>
          <t>Use this when the work improved accuracy or reduced defects/rework.</t>
        </is>
      </c>
      <c r="C15" s="19" t="n"/>
      <c r="D15" s="19" t="n"/>
      <c r="E15" s="19" t="n"/>
      <c r="F15" s="19" t="n"/>
    </row>
    <row r="16" ht="36" customHeight="1" s="16">
      <c r="A16" s="8" t="inlineStr">
        <is>
          <t>Example</t>
        </is>
      </c>
      <c r="B16" s="22" t="inlineStr">
        <is>
          <t>Example: Errors reduced from 25 to 5. Error Reduction = ((25 - 5) / 25) x 100 = 80%.</t>
        </is>
      </c>
      <c r="C16" s="19" t="n"/>
      <c r="D16" s="19" t="n"/>
      <c r="E16" s="19" t="n"/>
      <c r="F16" s="19" t="n"/>
    </row>
    <row r="17" ht="36" customHeight="1" s="16"/>
    <row r="18" ht="36" customHeight="1" s="16">
      <c r="A18" s="24" t="inlineStr">
        <is>
          <t>4. SLA / TAT Improvement</t>
        </is>
      </c>
    </row>
    <row r="19" ht="36" customHeight="1" s="16">
      <c r="A19" s="12" t="inlineStr">
        <is>
          <t>Formula</t>
        </is>
      </c>
      <c r="B19" s="25" t="inlineStr">
        <is>
          <t>SLA Improvement (%) = ((Old TAT - New TAT) / Old TAT) x 100</t>
        </is>
      </c>
      <c r="C19" s="19" t="n"/>
      <c r="D19" s="19" t="n"/>
      <c r="E19" s="19" t="n"/>
      <c r="F19" s="19" t="n"/>
    </row>
    <row r="20" ht="36" customHeight="1" s="16">
      <c r="A20" s="13" t="inlineStr">
        <is>
          <t>Explanation</t>
        </is>
      </c>
      <c r="B20" s="23" t="inlineStr">
        <is>
          <t>TAT means Turnaround Time: the average time taken to complete a task/request/report from start to finish. Use the same unit for Old TAT and New TAT, such as hours or days.</t>
        </is>
      </c>
      <c r="C20" s="19" t="n"/>
      <c r="D20" s="19" t="n"/>
      <c r="E20" s="19" t="n"/>
      <c r="F20" s="19" t="n"/>
    </row>
    <row r="21" ht="36" customHeight="1" s="16">
      <c r="A21" s="8" t="inlineStr">
        <is>
          <t>Example</t>
        </is>
      </c>
      <c r="B21" s="22" t="inlineStr">
        <is>
          <t>Example: Old TAT = 5 days, New TAT = 3 days. SLA/TAT Improvement = ((5 - 3) / 5) x 100 = 40%.</t>
        </is>
      </c>
      <c r="C21" s="19" t="n"/>
      <c r="D21" s="19" t="n"/>
      <c r="E21" s="19" t="n"/>
      <c r="F21" s="19" t="n"/>
    </row>
    <row r="22" ht="36" customHeight="1" s="16"/>
    <row r="23" ht="36" customHeight="1" s="16"/>
  </sheetData>
  <mergeCells count="17">
    <mergeCell ref="B21:F21"/>
    <mergeCell ref="B4:F4"/>
    <mergeCell ref="B6:F6"/>
    <mergeCell ref="A13:F13"/>
    <mergeCell ref="B16:F16"/>
    <mergeCell ref="B15:F15"/>
    <mergeCell ref="B10:F10"/>
    <mergeCell ref="A1:F1"/>
    <mergeCell ref="B11:F11"/>
    <mergeCell ref="B20:F20"/>
    <mergeCell ref="B5:F5"/>
    <mergeCell ref="A8:F8"/>
    <mergeCell ref="B19:F19"/>
    <mergeCell ref="A18:F18"/>
    <mergeCell ref="B14:F14"/>
    <mergeCell ref="A3:F3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55" customWidth="1" style="16" min="1" max="1"/>
    <col width="16" customWidth="1" style="16" min="2" max="2"/>
    <col width="16" customWidth="1" style="16" min="3" max="3"/>
    <col width="16" customWidth="1" style="16" min="4" max="4"/>
    <col width="16" customWidth="1" style="16" min="5" max="5"/>
    <col width="16" customWidth="1" style="16" min="6" max="6"/>
    <col width="14" customWidth="1" style="16" min="7" max="7"/>
    <col width="14" customWidth="1" style="16" min="8" max="8"/>
    <col width="16" customWidth="1" style="16" min="9" max="9"/>
  </cols>
  <sheetData>
    <row r="1">
      <c r="A1" s="27" t="inlineStr">
        <is>
          <t>Business Impact Estimation — Forecast / Capacity Allocation Reporting</t>
        </is>
      </c>
    </row>
    <row r="2">
      <c r="A2" s="28" t="inlineStr">
        <is>
          <t>Backs the single-row entry in "Survey Calculator". Application is not yet deployed to production — all post-implementation ("After") figures are projected estimates from a process walkthrough, not measured results.</t>
        </is>
      </c>
    </row>
    <row r="4">
      <c r="A4" s="29" t="inlineStr">
        <is>
          <t>1. KEY FINDINGS</t>
        </is>
      </c>
    </row>
    <row r="5">
      <c r="A5" s="30" t="inlineStr">
        <is>
          <t>Metric</t>
        </is>
      </c>
      <c r="B5" s="30" t="inlineStr">
        <is>
          <t>Recommended (Mid)</t>
        </is>
      </c>
      <c r="C5" s="30" t="inlineStr">
        <is>
          <t>Best Case</t>
        </is>
      </c>
      <c r="D5" s="30" t="inlineStr">
        <is>
          <t>Worst Case</t>
        </is>
      </c>
      <c r="E5" s="30" t="inlineStr">
        <is>
          <t>Unit</t>
        </is>
      </c>
    </row>
    <row r="6">
      <c r="A6" t="inlineStr">
        <is>
          <t>Time Saved / Month</t>
        </is>
      </c>
      <c r="B6" s="31">
        <f>D27</f>
        <v/>
      </c>
      <c r="C6" s="32">
        <f>D24</f>
        <v/>
      </c>
      <c r="D6" s="32">
        <f>D25</f>
        <v/>
      </c>
      <c r="E6" t="inlineStr">
        <is>
          <t>hrs/month</t>
        </is>
      </c>
    </row>
    <row r="7">
      <c r="A7" t="inlineStr">
        <is>
          <t>Cost Impact / Month</t>
        </is>
      </c>
      <c r="B7" s="31">
        <f>E27</f>
        <v/>
      </c>
      <c r="C7" s="32">
        <f>E24</f>
        <v/>
      </c>
      <c r="D7" s="32">
        <f>E25</f>
        <v/>
      </c>
      <c r="E7" t="inlineStr">
        <is>
          <t>$/month</t>
        </is>
      </c>
    </row>
    <row r="8">
      <c r="A8" t="inlineStr">
        <is>
          <t>Annual Cost Impact</t>
        </is>
      </c>
      <c r="B8" s="31">
        <f>F27</f>
        <v/>
      </c>
      <c r="C8" s="32">
        <f>F24</f>
        <v/>
      </c>
      <c r="D8" s="32">
        <f>F25</f>
        <v/>
      </c>
      <c r="E8" t="inlineStr">
        <is>
          <t>$/year</t>
        </is>
      </c>
    </row>
    <row r="9">
      <c r="A9" t="inlineStr">
        <is>
          <t>SLA / TAT Improvement</t>
        </is>
      </c>
      <c r="B9" s="33">
        <f>I27</f>
        <v/>
      </c>
      <c r="C9" s="34">
        <f>I24</f>
        <v/>
      </c>
      <c r="D9" s="34">
        <f>I25</f>
        <v/>
      </c>
      <c r="E9" t="inlineStr">
        <is>
          <t>%</t>
        </is>
      </c>
    </row>
    <row r="11">
      <c r="A11" s="28" t="inlineStr">
        <is>
          <t>Recommended figure weights Best Case (normal month) and Worst Case (edge-case month) by an estimated edge-case frequency of 2 out of 12 months — see Section 2 and Section 4 for how this was derived.</t>
        </is>
      </c>
    </row>
    <row r="13">
      <c r="A13" s="29" t="inlineStr">
        <is>
          <t>2. FACTORS CONSIDERED IN ESTIMATION</t>
        </is>
      </c>
    </row>
    <row r="14">
      <c r="A14" t="inlineStr">
        <is>
          <t>1. Manual process steps (per monthly cycle): data formatting from client Excel (~10 min), allocation processing (1–2 hrs), cross-team data gathering for current + 6-month forecast across 4+ team heads (~2 hrs), final decision meeting with 10+ attendees (~1–1.25 hrs each).</t>
        </is>
      </c>
    </row>
    <row r="15">
      <c r="A15" t="inlineStr">
        <is>
          <t>2. Edge-case triggers that extend both turnaround time and effort: introduction of a new worktype, a new LOB, or a change to the input file template.</t>
        </is>
      </c>
    </row>
    <row r="16">
      <c r="A16" t="inlineStr">
        <is>
          <t>3. Edge-case frequency: estimated by the process owner at 1–3 months out of 12 (modeled as Low/Mid/High); Mid (2/12) used for the recommended figure.</t>
        </is>
      </c>
    </row>
    <row r="17">
      <c r="A17" t="inlineStr">
        <is>
          <t>4. Effort-to-TAT relationship: person-hours are assumed to scale proportionally with turnaround time between normal and edge-case months (confirmed by process owner).</t>
        </is>
      </c>
    </row>
    <row r="18">
      <c r="A18" t="inlineStr">
        <is>
          <t>5. Hourly rate: $4/hr, per the default rate specified in the submission template.</t>
        </is>
      </c>
    </row>
    <row r="19">
      <c r="A19" t="inlineStr">
        <is>
          <t>6. Error/defect data: not tracked in the current manual process (no auditability or reasonability checks) — Error Reduction is left blank rather than estimated.</t>
        </is>
      </c>
    </row>
    <row r="20">
      <c r="A20" t="inlineStr">
        <is>
          <t>7. Deployment status: application not yet live in production; "After" figures are projections from a walkthrough of the current process, not measured data.</t>
        </is>
      </c>
    </row>
    <row r="22">
      <c r="A22" s="29" t="inlineStr">
        <is>
          <t>3. DETAILED SCENARIO BREAKDOWN</t>
        </is>
      </c>
    </row>
    <row r="23">
      <c r="A23" s="35" t="inlineStr">
        <is>
          <t>Scenario</t>
        </is>
      </c>
      <c r="B23" s="35" t="inlineStr">
        <is>
          <t>Effort Before (hrs)</t>
        </is>
      </c>
      <c r="C23" s="35" t="inlineStr">
        <is>
          <t>Effort After (hrs)</t>
        </is>
      </c>
      <c r="D23" s="35" t="inlineStr">
        <is>
          <t>Time Saved (hrs/mo)</t>
        </is>
      </c>
      <c r="E23" s="35" t="inlineStr">
        <is>
          <t>Cost Impact ($/mo)</t>
        </is>
      </c>
      <c r="F23" s="35" t="inlineStr">
        <is>
          <t>Annual Cost Impact ($)</t>
        </is>
      </c>
      <c r="G23" s="35" t="inlineStr">
        <is>
          <t>TAT Before (hrs)</t>
        </is>
      </c>
      <c r="H23" s="35" t="inlineStr">
        <is>
          <t>TAT After (hrs)</t>
        </is>
      </c>
      <c r="I23" s="35" t="inlineStr">
        <is>
          <t>TAT Improvement (%)</t>
        </is>
      </c>
    </row>
    <row r="24">
      <c r="A24" t="inlineStr">
        <is>
          <t>Best Case — Normal Month</t>
        </is>
      </c>
      <c r="B24">
        <f>B35</f>
        <v/>
      </c>
      <c r="C24">
        <f>B37</f>
        <v/>
      </c>
      <c r="D24">
        <f>MAX(B24-C24,0)</f>
        <v/>
      </c>
      <c r="E24">
        <f>D24*$B$42</f>
        <v/>
      </c>
      <c r="F24">
        <f>E24*12</f>
        <v/>
      </c>
      <c r="G24">
        <f>B31</f>
        <v/>
      </c>
      <c r="H24">
        <f>B33</f>
        <v/>
      </c>
      <c r="I24" s="34">
        <f>IFERROR((G24-H24)/G24,"")</f>
        <v/>
      </c>
    </row>
    <row r="25">
      <c r="A25" t="inlineStr">
        <is>
          <t>Worst Case — Edge-Case Month</t>
        </is>
      </c>
      <c r="B25">
        <f>B36</f>
        <v/>
      </c>
      <c r="C25">
        <f>B38</f>
        <v/>
      </c>
      <c r="D25">
        <f>MAX(B25-C25,0)</f>
        <v/>
      </c>
      <c r="E25">
        <f>D25*$B$42</f>
        <v/>
      </c>
      <c r="F25">
        <f>E25*12</f>
        <v/>
      </c>
      <c r="G25">
        <f>B32</f>
        <v/>
      </c>
      <c r="H25">
        <f>B34</f>
        <v/>
      </c>
      <c r="I25" s="34">
        <f>IFERROR((G25-H25)/G25,"")</f>
        <v/>
      </c>
    </row>
    <row r="26">
      <c r="A26" t="inlineStr">
        <is>
          <t>Projected Ideal — Low Edge Frequency (1/12 mo)</t>
        </is>
      </c>
      <c r="B26">
        <f>B35*(1-B39/12)+B36*(B39/12)</f>
        <v/>
      </c>
      <c r="C26">
        <f>B37*(1-B39/12)+B38*(B39/12)</f>
        <v/>
      </c>
      <c r="D26">
        <f>MAX(B26-C26,0)</f>
        <v/>
      </c>
      <c r="E26">
        <f>D26*$B$42</f>
        <v/>
      </c>
      <c r="F26">
        <f>E26*12</f>
        <v/>
      </c>
      <c r="G26">
        <f>B31*(1-B39/12)+B32*(B39/12)</f>
        <v/>
      </c>
      <c r="H26">
        <f>B33*(1-B39/12)+B34*(B39/12)</f>
        <v/>
      </c>
      <c r="I26" s="34">
        <f>IFERROR((G26-H26)/G26,"")</f>
        <v/>
      </c>
    </row>
    <row r="27">
      <c r="A27" s="36" t="inlineStr">
        <is>
          <t>Projected Ideal — Mid Edge Frequency (2/12 mo)  [RECOMMENDED]</t>
        </is>
      </c>
      <c r="B27" s="36">
        <f>B35*(1-B40/12)+B36*(B40/12)</f>
        <v/>
      </c>
      <c r="C27" s="36">
        <f>B37*(1-B40/12)+B38*(B40/12)</f>
        <v/>
      </c>
      <c r="D27" s="36">
        <f>MAX(B27-C27,0)</f>
        <v/>
      </c>
      <c r="E27" s="36">
        <f>D27*$B$42</f>
        <v/>
      </c>
      <c r="F27" s="36">
        <f>E27*12</f>
        <v/>
      </c>
      <c r="G27" s="36">
        <f>B31*(1-B40/12)+B32*(B40/12)</f>
        <v/>
      </c>
      <c r="H27" s="36">
        <f>B33*(1-B40/12)+B34*(B40/12)</f>
        <v/>
      </c>
      <c r="I27" s="33">
        <f>IFERROR((G27-H27)/G27,"")</f>
        <v/>
      </c>
    </row>
    <row r="28">
      <c r="A28" t="inlineStr">
        <is>
          <t>Projected Ideal — High Edge Frequency (3/12 mo)</t>
        </is>
      </c>
      <c r="B28">
        <f>B35*(1-B41/12)+B36*(B41/12)</f>
        <v/>
      </c>
      <c r="C28">
        <f>B37*(1-B41/12)+B38*(B41/12)</f>
        <v/>
      </c>
      <c r="D28">
        <f>MAX(B28-C28,0)</f>
        <v/>
      </c>
      <c r="E28">
        <f>D28*$B$42</f>
        <v/>
      </c>
      <c r="F28">
        <f>E28*12</f>
        <v/>
      </c>
      <c r="G28">
        <f>B31*(1-B41/12)+B32*(B41/12)</f>
        <v/>
      </c>
      <c r="H28">
        <f>B33*(1-B41/12)+B34*(B41/12)</f>
        <v/>
      </c>
      <c r="I28" s="34">
        <f>IFERROR((G28-H28)/G28,"")</f>
        <v/>
      </c>
    </row>
    <row r="30">
      <c r="A30" s="29" t="inlineStr">
        <is>
          <t>4. INPUT ASSUMPTIONS (editable — blue cells feed all calculations above)</t>
        </is>
      </c>
    </row>
    <row r="31">
      <c r="A31" t="inlineStr">
        <is>
          <t>Old TAT — Normal Month (hrs)</t>
        </is>
      </c>
      <c r="B31" s="37" t="n">
        <v>10</v>
      </c>
    </row>
    <row r="32">
      <c r="A32" t="inlineStr">
        <is>
          <t>Old TAT — Edge-Case Month (hrs)</t>
        </is>
      </c>
      <c r="B32" s="37" t="n">
        <v>24</v>
      </c>
    </row>
    <row r="33">
      <c r="A33" t="inlineStr">
        <is>
          <t>New TAT — Normal Month (hrs)</t>
        </is>
      </c>
      <c r="B33" s="37" t="n">
        <v>3.5</v>
      </c>
    </row>
    <row r="34">
      <c r="A34" t="inlineStr">
        <is>
          <t>New TAT — Edge-Case Month (hrs)</t>
        </is>
      </c>
      <c r="B34" s="37" t="n">
        <v>10</v>
      </c>
    </row>
    <row r="35">
      <c r="A35" t="inlineStr">
        <is>
          <t>Effort Before — Normal Month (person-hrs)</t>
        </is>
      </c>
      <c r="B35" s="37" t="n">
        <v>16.2</v>
      </c>
    </row>
    <row r="36">
      <c r="A36" t="inlineStr">
        <is>
          <t>Effort Before — Edge-Case Month (person-hrs, scaled by Old TAT ratio)</t>
        </is>
      </c>
      <c r="B36" s="38">
        <f>B35*(B32/B31)</f>
        <v/>
      </c>
    </row>
    <row r="37">
      <c r="A37" t="inlineStr">
        <is>
          <t>Effort After — Normal Month (person-hrs)</t>
        </is>
      </c>
      <c r="B37" s="37" t="n">
        <v>3.5</v>
      </c>
    </row>
    <row r="38">
      <c r="A38" t="inlineStr">
        <is>
          <t>Effort After — Edge-Case Month (person-hrs, scaled by New TAT ratio)</t>
        </is>
      </c>
      <c r="B38" s="38">
        <f>B37*(B34/B33)</f>
        <v/>
      </c>
    </row>
    <row r="39">
      <c r="A39" t="inlineStr">
        <is>
          <t>Edge-Case Frequency — Low (months per 12)</t>
        </is>
      </c>
      <c r="B39" s="37" t="n">
        <v>1</v>
      </c>
    </row>
    <row r="40">
      <c r="A40" t="inlineStr">
        <is>
          <t>Edge-Case Frequency — Mid / Recommended (months per 12)</t>
        </is>
      </c>
      <c r="B40" s="37" t="n">
        <v>2</v>
      </c>
    </row>
    <row r="41">
      <c r="A41" t="inlineStr">
        <is>
          <t>Edge-Case Frequency — High (months per 12)</t>
        </is>
      </c>
      <c r="B41" s="37" t="n">
        <v>3</v>
      </c>
    </row>
    <row r="42">
      <c r="A42" t="inlineStr">
        <is>
          <t>Hourly Rate ($)</t>
        </is>
      </c>
      <c r="B42" s="37" t="n">
        <v>4</v>
      </c>
    </row>
  </sheetData>
  <mergeCells count="10">
    <mergeCell ref="A15:I15"/>
    <mergeCell ref="A2:I2"/>
    <mergeCell ref="A19:I19"/>
    <mergeCell ref="A11:I11"/>
    <mergeCell ref="A14:I14"/>
    <mergeCell ref="A1:I1"/>
    <mergeCell ref="A17:I17"/>
    <mergeCell ref="A18:I18"/>
    <mergeCell ref="A20:I20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Sarita Nair</dc:creator>
  <dcterms:created xsi:type="dcterms:W3CDTF">2026-07-15T11:22:29Z</dcterms:created>
  <dcterms:modified xsi:type="dcterms:W3CDTF">2026-07-17T09:34:03Z</dcterms:modified>
  <cp:lastModifiedBy>Sarita Nair</cp:lastModifiedBy>
</cp:coreProperties>
</file>