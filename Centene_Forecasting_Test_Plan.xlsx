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y1 - Auth &amp; Upload" sheetId="2" state="visible" r:id="rId2"/>
    <sheet name="Day2 - Data View" sheetId="3" state="visible" r:id="rId3"/>
    <sheet name="Day3 - Dashboards" sheetId="4" state="visible" r:id="rId4"/>
    <sheet name="Day4 - Edit &amp; Alloc" sheetId="5" state="visible" r:id="rId5"/>
    <sheet name="Day5 - Chat &amp; Ramp" sheetId="6" state="visible" r:id="rId6"/>
    <sheet name="Bug Tracker" sheetId="7" state="visible" r:id="rId7"/>
    <sheet name="Test Report" sheetId="8" state="visible" r:id="rId8"/>
  </sheets>
  <definedNames>
    <definedName name="_xlnm._FilterDatabase" localSheetId="1" hidden="1">'Day1 - Auth &amp; Upload'!$A$1:$M$1</definedName>
    <definedName name="_xlnm._FilterDatabase" localSheetId="2" hidden="1">'Day2 - Data View'!$A$1:$M$1</definedName>
    <definedName name="_xlnm._FilterDatabase" localSheetId="3" hidden="1">'Day3 - Dashboards'!$A$1:$M$1</definedName>
    <definedName name="_xlnm._FilterDatabase" localSheetId="4" hidden="1">'Day4 - Edit &amp; Alloc'!$A$1:$M$1</definedName>
    <definedName name="_xlnm._FilterDatabase" localSheetId="5" hidden="1">'Day5 - Chat &amp; Ramp'!$A$1:$M$1</definedName>
    <definedName name="_xlnm._FilterDatabase" localSheetId="6" hidden="1">'Bug Tracker'!$A$1:$M$1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3864"/>
      <sz val="12"/>
    </font>
    <font>
      <name val="Arial"/>
      <b val="1"/>
      <color rgb="001F3864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375623"/>
      <sz val="10"/>
    </font>
    <font>
      <name val="Arial"/>
      <b val="1"/>
      <color rgb="009C0006"/>
      <sz val="10"/>
    </font>
    <font>
      <name val="Arial"/>
      <b val="1"/>
      <color rgb="009C5700"/>
      <sz val="10"/>
    </font>
    <font>
      <name val="Arial"/>
      <b val="1"/>
      <color rgb="00595959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i val="1"/>
      <color rgb="001F3864"/>
      <sz val="10"/>
    </font>
    <font>
      <name val="Arial"/>
      <b val="1"/>
      <sz val="11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FF00"/>
      </patternFill>
    </fill>
    <fill>
      <patternFill patternType="solid">
        <fgColor rgb="00FF0000"/>
      </patternFill>
    </fill>
    <fill>
      <patternFill patternType="solid">
        <fgColor rgb="00FF8C00"/>
      </patternFill>
    </fill>
    <fill>
      <patternFill patternType="solid">
        <fgColor rgb="000070C0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/>
    </xf>
    <xf numFmtId="0" fontId="12" fillId="10" borderId="0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0" fontId="12" fillId="11" borderId="0" applyAlignment="1" pivotButton="0" quotePrefix="0" xfId="0">
      <alignment horizontal="center"/>
    </xf>
    <xf numFmtId="0" fontId="9" fillId="7" borderId="0" applyAlignment="1" pivotButton="0" quotePrefix="0" xfId="0">
      <alignment horizontal="center"/>
    </xf>
    <xf numFmtId="0" fontId="12" fillId="12" borderId="0" applyAlignment="1" pivotButton="0" quotePrefix="0" xfId="0">
      <alignment horizontal="center"/>
    </xf>
    <xf numFmtId="0" fontId="10" fillId="8" borderId="0" applyAlignment="1" pivotButton="0" quotePrefix="0" xfId="0">
      <alignment horizontal="center"/>
    </xf>
    <xf numFmtId="0" fontId="11" fillId="9" borderId="0" applyAlignment="1" pivotButton="0" quotePrefix="0" xfId="0">
      <alignment horizontal="center"/>
    </xf>
    <xf numFmtId="0" fontId="5" fillId="3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6" fillId="13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13" fillId="0" borderId="0" applyAlignment="1" pivotButton="0" quotePrefix="0" xfId="0">
      <alignment horizontal="center"/>
    </xf>
    <xf numFmtId="0" fontId="2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164" fontId="5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164" fontId="5" fillId="4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164" fontId="6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/>
    </xf>
    <xf numFmtId="164" fontId="5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164" fontId="5" fillId="3" borderId="0" applyAlignment="1" pivotButton="0" quotePrefix="0" xfId="0">
      <alignment horizontal="center"/>
    </xf>
    <xf numFmtId="0" fontId="12" fillId="13" borderId="0" applyAlignment="1" pivotButton="0" quotePrefix="0" xfId="0">
      <alignment horizontal="center"/>
    </xf>
    <xf numFmtId="164" fontId="12" fillId="13" borderId="0" applyAlignment="1" pivotButton="0" quotePrefix="0" xfId="0">
      <alignment horizontal="center"/>
    </xf>
    <xf numFmtId="0" fontId="5" fillId="3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12" customWidth="1" min="3" max="3"/>
    <col width="14" customWidth="1" min="4" max="4"/>
    <col width="16" customWidth="1" min="5" max="5"/>
    <col width="16" customWidth="1" min="6" max="6"/>
  </cols>
  <sheetData>
    <row r="1" ht="35" customHeight="1">
      <c r="A1" s="1" t="inlineStr">
        <is>
          <t>Centene Forecasting — 5-Day Manual Test Plan</t>
        </is>
      </c>
    </row>
    <row r="2" ht="25" customHeight="1">
      <c r="A2" s="2" t="inlineStr">
        <is>
          <t>40 hours total  |  70% Testing (28h)  |  30% Bug Fix &amp; Refactoring (12h)</t>
        </is>
      </c>
    </row>
    <row r="4">
      <c r="A4" s="3" t="inlineStr">
        <is>
          <t>Project Info</t>
        </is>
      </c>
    </row>
    <row r="5">
      <c r="A5" s="4" t="inlineStr">
        <is>
          <t>Project</t>
        </is>
      </c>
      <c r="B5" s="5" t="inlineStr">
        <is>
          <t>Centene Forecasting</t>
        </is>
      </c>
    </row>
    <row r="6">
      <c r="A6" s="4" t="inlineStr">
        <is>
          <t>Roles Under Test</t>
        </is>
      </c>
      <c r="B6" s="5" t="inlineStr">
        <is>
          <t>EDITOR &amp; ADMIN</t>
        </is>
      </c>
    </row>
    <row r="7">
      <c r="A7" s="4" t="inlineStr">
        <is>
          <t>Test Period</t>
        </is>
      </c>
      <c r="B7" s="5" t="inlineStr">
        <is>
          <t>5 Days</t>
        </is>
      </c>
    </row>
    <row r="8">
      <c r="A8" s="4" t="inlineStr">
        <is>
          <t>Total Hours</t>
        </is>
      </c>
      <c r="B8" s="5" t="inlineStr">
        <is>
          <t>40h</t>
        </is>
      </c>
    </row>
    <row r="9">
      <c r="A9" s="4" t="inlineStr">
        <is>
          <t>Testing Time</t>
        </is>
      </c>
      <c r="B9" s="5" t="inlineStr">
        <is>
          <t>28h  (5.6h/day)</t>
        </is>
      </c>
    </row>
    <row r="10">
      <c r="A10" s="4" t="inlineStr">
        <is>
          <t>Bug Fix Time</t>
        </is>
      </c>
      <c r="B10" s="5" t="inlineStr">
        <is>
          <t>12h  (2.4h/day)</t>
        </is>
      </c>
    </row>
    <row r="11">
      <c r="A11" s="4" t="inlineStr">
        <is>
          <t>Priority Bug Areas</t>
        </is>
      </c>
      <c r="B11" s="5" t="inlineStr">
        <is>
          <t>Edit/Allocation, Chat/Ramp Flows, File Uploads</t>
        </is>
      </c>
    </row>
    <row r="13">
      <c r="A13" s="3" t="inlineStr">
        <is>
          <t>Day-by-Day Schedule</t>
        </is>
      </c>
    </row>
    <row r="14">
      <c r="A14" s="6" t="inlineStr">
        <is>
          <t>Day</t>
        </is>
      </c>
      <c r="B14" s="6" t="inlineStr">
        <is>
          <t>Focus Area</t>
        </is>
      </c>
      <c r="C14" s="6" t="inlineStr">
        <is>
          <t>Modules</t>
        </is>
      </c>
      <c r="D14" s="6" t="inlineStr">
        <is>
          <t>Test Cases</t>
        </is>
      </c>
      <c r="E14" s="6" t="inlineStr">
        <is>
          <t>Testing Hours</t>
        </is>
      </c>
      <c r="F14" s="6" t="inlineStr">
        <is>
          <t>Bug Fix Hours</t>
        </is>
      </c>
    </row>
    <row r="15">
      <c r="A15" s="7" t="inlineStr">
        <is>
          <t>Day 1</t>
        </is>
      </c>
      <c r="B15" s="7" t="inlineStr">
        <is>
          <t>Auth · Navigation · File Uploads · WebSocket</t>
        </is>
      </c>
      <c r="C15" s="7" t="n">
        <v>4</v>
      </c>
      <c r="D15" s="7" t="n">
        <v>25</v>
      </c>
      <c r="E15" s="7" t="inlineStr">
        <is>
          <t>5.6h</t>
        </is>
      </c>
      <c r="F15" s="7" t="inlineStr">
        <is>
          <t>2.4h</t>
        </is>
      </c>
    </row>
    <row r="16">
      <c r="A16" s="8" t="inlineStr">
        <is>
          <t>Day 2</t>
        </is>
      </c>
      <c r="B16" s="8" t="inlineStr">
        <is>
          <t>Data View · Cascade Filters · Download</t>
        </is>
      </c>
      <c r="C16" s="8" t="n">
        <v>5</v>
      </c>
      <c r="D16" s="8" t="n">
        <v>30</v>
      </c>
      <c r="E16" s="8" t="inlineStr">
        <is>
          <t>5.6h</t>
        </is>
      </c>
      <c r="F16" s="8" t="inlineStr">
        <is>
          <t>2.4h</t>
        </is>
      </c>
    </row>
    <row r="17">
      <c r="A17" s="7" t="inlineStr">
        <is>
          <t>Day 3</t>
        </is>
      </c>
      <c r="B17" s="7" t="inlineStr">
        <is>
          <t>Manager View · Execution Monitoring · Configuration</t>
        </is>
      </c>
      <c r="C17" s="7" t="n">
        <v>6</v>
      </c>
      <c r="D17" s="7" t="n">
        <v>35</v>
      </c>
      <c r="E17" s="7" t="inlineStr">
        <is>
          <t>5.6h</t>
        </is>
      </c>
      <c r="F17" s="7" t="inlineStr">
        <is>
          <t>2.4h</t>
        </is>
      </c>
    </row>
    <row r="18">
      <c r="A18" s="8" t="inlineStr">
        <is>
          <t>Day 4 ⭐</t>
        </is>
      </c>
      <c r="B18" s="8" t="inlineStr">
        <is>
          <t>Edit View · Bench Allocation · Target CPH · History Log  [HIGH PRIORITY]</t>
        </is>
      </c>
      <c r="C18" s="8" t="n">
        <v>6</v>
      </c>
      <c r="D18" s="8" t="n">
        <v>30</v>
      </c>
      <c r="E18" s="8" t="inlineStr">
        <is>
          <t>5.6h</t>
        </is>
      </c>
      <c r="F18" s="8" t="inlineStr">
        <is>
          <t>2.4h</t>
        </is>
      </c>
    </row>
    <row r="19">
      <c r="A19" s="7" t="inlineStr">
        <is>
          <t>Day 5 ⭐</t>
        </is>
      </c>
      <c r="B19" s="7" t="inlineStr">
        <is>
          <t>Chat Assistant · CPH Update · All Ramp Flows  [HIGH PRIORITY]</t>
        </is>
      </c>
      <c r="C19" s="7" t="n">
        <v>10</v>
      </c>
      <c r="D19" s="7" t="n">
        <v>40</v>
      </c>
      <c r="E19" s="7" t="inlineStr">
        <is>
          <t>5.6h</t>
        </is>
      </c>
      <c r="F19" s="7" t="inlineStr">
        <is>
          <t>2.4h</t>
        </is>
      </c>
    </row>
    <row r="20">
      <c r="A20" s="9" t="inlineStr">
        <is>
          <t>TOTAL</t>
        </is>
      </c>
      <c r="B20" s="9" t="inlineStr"/>
      <c r="C20" s="9" t="inlineStr"/>
      <c r="D20" s="9" t="n">
        <v>160</v>
      </c>
      <c r="E20" s="9" t="inlineStr">
        <is>
          <t>28h</t>
        </is>
      </c>
      <c r="F20" s="9" t="inlineStr">
        <is>
          <t>12h</t>
        </is>
      </c>
    </row>
    <row r="22">
      <c r="A22" s="3" t="inlineStr">
        <is>
          <t>Status Legend</t>
        </is>
      </c>
      <c r="C22" s="3" t="inlineStr">
        <is>
          <t>Priority Legend</t>
        </is>
      </c>
    </row>
    <row r="23">
      <c r="A23" s="10" t="inlineStr">
        <is>
          <t>Pass</t>
        </is>
      </c>
      <c r="C23" s="11" t="inlineStr">
        <is>
          <t>High</t>
        </is>
      </c>
    </row>
    <row r="24">
      <c r="A24" s="12" t="inlineStr">
        <is>
          <t>Fail</t>
        </is>
      </c>
      <c r="C24" s="13" t="inlineStr">
        <is>
          <t>Medium</t>
        </is>
      </c>
    </row>
    <row r="25">
      <c r="A25" s="14" t="inlineStr">
        <is>
          <t>Blocked</t>
        </is>
      </c>
      <c r="C25" s="15" t="inlineStr">
        <is>
          <t>Low</t>
        </is>
      </c>
    </row>
    <row r="26">
      <c r="A26" s="16" t="inlineStr">
        <is>
          <t>Not Tested</t>
        </is>
      </c>
    </row>
    <row r="27">
      <c r="A27" s="17" t="inlineStr">
        <is>
          <t>In Progress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0" customWidth="1" min="4" max="4"/>
    <col width="40" customWidth="1" min="5" max="5"/>
    <col width="60" customWidth="1" min="6" max="6"/>
    <col width="45" customWidth="1" min="7" max="7"/>
    <col width="45" customWidth="1" min="8" max="8"/>
    <col width="15" customWidth="1" min="9" max="9"/>
    <col width="12" customWidth="1" min="10" max="10"/>
    <col width="15" customWidth="1" min="11" max="11"/>
    <col width="15" customWidth="1" min="12" max="12"/>
    <col width="30" customWidth="1" min="13" max="13"/>
  </cols>
  <sheetData>
    <row r="1" ht="30" customHeight="1">
      <c r="A1" s="6" t="inlineStr">
        <is>
          <t>TC-ID</t>
        </is>
      </c>
      <c r="B1" s="6" t="inlineStr">
        <is>
          <t>Module</t>
        </is>
      </c>
      <c r="C1" s="6" t="inlineStr">
        <is>
          <t>Test Case Name</t>
        </is>
      </c>
      <c r="D1" s="6" t="inlineStr">
        <is>
          <t>Priority</t>
        </is>
      </c>
      <c r="E1" s="6" t="inlineStr">
        <is>
          <t>Pre-conditions</t>
        </is>
      </c>
      <c r="F1" s="6" t="inlineStr">
        <is>
          <t>Test Steps</t>
        </is>
      </c>
      <c r="G1" s="6" t="inlineStr">
        <is>
          <t>Expected Result</t>
        </is>
      </c>
      <c r="H1" s="6" t="inlineStr">
        <is>
          <t>Actual Result</t>
        </is>
      </c>
      <c r="I1" s="6" t="inlineStr">
        <is>
          <t>Status</t>
        </is>
      </c>
      <c r="J1" s="6" t="inlineStr">
        <is>
          <t>Bug-ID</t>
        </is>
      </c>
      <c r="K1" s="6" t="inlineStr">
        <is>
          <t>Tested By</t>
        </is>
      </c>
      <c r="L1" s="6" t="inlineStr">
        <is>
          <t>Tested On</t>
        </is>
      </c>
      <c r="M1" s="6" t="inlineStr">
        <is>
          <t>Notes</t>
        </is>
      </c>
    </row>
    <row r="2" ht="55" customHeight="1">
      <c r="A2" s="18" t="inlineStr">
        <is>
          <t>TC-D1-001</t>
        </is>
      </c>
      <c r="B2" s="18" t="inlineStr">
        <is>
          <t>Authentication</t>
        </is>
      </c>
      <c r="C2" s="18" t="inlineStr">
        <is>
          <t>Login with valid LDAP credentials</t>
        </is>
      </c>
      <c r="D2" s="18" t="inlineStr">
        <is>
          <t>High</t>
        </is>
      </c>
      <c r="E2" s="18" t="inlineStr">
        <is>
          <t>App running; valid LDAP user exists</t>
        </is>
      </c>
      <c r="F2" s="18" t="inlineStr">
        <is>
          <t>1. Navigate to /forecast_app/
2. Enter valid username (AMERICAS\username)
3. Enter correct password
4. Click Login</t>
        </is>
      </c>
      <c r="G2" s="18" t="inlineStr">
        <is>
          <t>User authenticated; redirected to timezone selection</t>
        </is>
      </c>
      <c r="H2" s="18" t="inlineStr"/>
      <c r="I2" s="18" t="inlineStr">
        <is>
          <t>Not Tested</t>
        </is>
      </c>
      <c r="J2" s="18" t="inlineStr"/>
      <c r="K2" s="18" t="inlineStr"/>
      <c r="L2" s="18" t="inlineStr"/>
      <c r="M2" s="18" t="inlineStr"/>
    </row>
    <row r="3" ht="55" customHeight="1">
      <c r="A3" s="19" t="inlineStr">
        <is>
          <t>TC-D1-002</t>
        </is>
      </c>
      <c r="B3" s="19" t="inlineStr">
        <is>
          <t>Authentication</t>
        </is>
      </c>
      <c r="C3" s="19" t="inlineStr">
        <is>
          <t>Login with invalid password</t>
        </is>
      </c>
      <c r="D3" s="19" t="inlineStr">
        <is>
          <t>High</t>
        </is>
      </c>
      <c r="E3" s="19" t="inlineStr">
        <is>
          <t>App running</t>
        </is>
      </c>
      <c r="F3" s="19" t="inlineStr">
        <is>
          <t>1. Navigate to login page
2. Enter valid username
3. Enter wrong password
4. Click Login</t>
        </is>
      </c>
      <c r="G3" s="19" t="inlineStr">
        <is>
          <t>Error message displayed; user stays on login page</t>
        </is>
      </c>
      <c r="H3" s="19" t="inlineStr"/>
      <c r="I3" s="19" t="inlineStr">
        <is>
          <t>Not Tested</t>
        </is>
      </c>
      <c r="J3" s="19" t="inlineStr"/>
      <c r="K3" s="19" t="inlineStr"/>
      <c r="L3" s="19" t="inlineStr"/>
      <c r="M3" s="19" t="inlineStr"/>
    </row>
    <row r="4" ht="55" customHeight="1">
      <c r="A4" s="18" t="inlineStr">
        <is>
          <t>TC-D1-003</t>
        </is>
      </c>
      <c r="B4" s="18" t="inlineStr">
        <is>
          <t>Authentication</t>
        </is>
      </c>
      <c r="C4" s="18" t="inlineStr">
        <is>
          <t>Login with empty credentials</t>
        </is>
      </c>
      <c r="D4" s="18" t="inlineStr">
        <is>
          <t>Medium</t>
        </is>
      </c>
      <c r="E4" s="18" t="inlineStr">
        <is>
          <t>App running</t>
        </is>
      </c>
      <c r="F4" s="18" t="inlineStr">
        <is>
          <t>1. Navigate to login page
2. Leave username and password empty
3. Click Login</t>
        </is>
      </c>
      <c r="G4" s="18" t="inlineStr">
        <is>
          <t>Validation error shown; login prevented</t>
        </is>
      </c>
      <c r="H4" s="18" t="inlineStr"/>
      <c r="I4" s="18" t="inlineStr">
        <is>
          <t>Not Tested</t>
        </is>
      </c>
      <c r="J4" s="18" t="inlineStr"/>
      <c r="K4" s="18" t="inlineStr"/>
      <c r="L4" s="18" t="inlineStr"/>
      <c r="M4" s="18" t="inlineStr"/>
    </row>
    <row r="5" ht="55" customHeight="1">
      <c r="A5" s="19" t="inlineStr">
        <is>
          <t>TC-D1-004</t>
        </is>
      </c>
      <c r="B5" s="19" t="inlineStr">
        <is>
          <t>Authentication</t>
        </is>
      </c>
      <c r="C5" s="19" t="inlineStr">
        <is>
          <t>Login with missing AMERICAS\ prefix</t>
        </is>
      </c>
      <c r="D5" s="19" t="inlineStr">
        <is>
          <t>Medium</t>
        </is>
      </c>
      <c r="E5" s="19" t="inlineStr">
        <is>
          <t>App running</t>
        </is>
      </c>
      <c r="F5" s="19" t="inlineStr">
        <is>
          <t>1. Navigate to login page
2. Enter username without AMERICAS\ prefix
3. Enter password
4. Click Login</t>
        </is>
      </c>
      <c r="G5" s="19" t="inlineStr">
        <is>
          <t>Authentication fails; error message shown</t>
        </is>
      </c>
      <c r="H5" s="19" t="inlineStr"/>
      <c r="I5" s="19" t="inlineStr">
        <is>
          <t>Not Tested</t>
        </is>
      </c>
      <c r="J5" s="19" t="inlineStr"/>
      <c r="K5" s="19" t="inlineStr"/>
      <c r="L5" s="19" t="inlineStr"/>
      <c r="M5" s="19" t="inlineStr"/>
    </row>
    <row r="6" ht="55" customHeight="1">
      <c r="A6" s="18" t="inlineStr">
        <is>
          <t>TC-D1-005</t>
        </is>
      </c>
      <c r="B6" s="18" t="inlineStr">
        <is>
          <t>Timezone</t>
        </is>
      </c>
      <c r="C6" s="18" t="inlineStr">
        <is>
          <t>Select IST timezone</t>
        </is>
      </c>
      <c r="D6" s="18" t="inlineStr">
        <is>
          <t>High</t>
        </is>
      </c>
      <c r="E6" s="18" t="inlineStr">
        <is>
          <t>Logged in successfully</t>
        </is>
      </c>
      <c r="F6" s="18" t="inlineStr">
        <is>
          <t>1. Arrive at timezone selection page
2. Select Asia/Kolkata (IST)
3. Click Confirm</t>
        </is>
      </c>
      <c r="G6" s="18" t="inlineStr">
        <is>
          <t>Session stores IST; redirected to upload/data view</t>
        </is>
      </c>
      <c r="H6" s="18" t="inlineStr"/>
      <c r="I6" s="18" t="inlineStr">
        <is>
          <t>Not Tested</t>
        </is>
      </c>
      <c r="J6" s="18" t="inlineStr"/>
      <c r="K6" s="18" t="inlineStr"/>
      <c r="L6" s="18" t="inlineStr"/>
      <c r="M6" s="18" t="inlineStr"/>
    </row>
    <row r="7" ht="55" customHeight="1">
      <c r="A7" s="19" t="inlineStr">
        <is>
          <t>TC-D1-006</t>
        </is>
      </c>
      <c r="B7" s="19" t="inlineStr">
        <is>
          <t>Timezone</t>
        </is>
      </c>
      <c r="C7" s="19" t="inlineStr">
        <is>
          <t>Select CST timezone</t>
        </is>
      </c>
      <c r="D7" s="19" t="inlineStr">
        <is>
          <t>Medium</t>
        </is>
      </c>
      <c r="E7" s="19" t="inlineStr">
        <is>
          <t>Logged in successfully</t>
        </is>
      </c>
      <c r="F7" s="19" t="inlineStr">
        <is>
          <t>1. Arrive at timezone page
2. Select America/Chicago (CST)
3. Click Confirm</t>
        </is>
      </c>
      <c r="G7" s="19" t="inlineStr">
        <is>
          <t>Session stores CST; redirected to data view</t>
        </is>
      </c>
      <c r="H7" s="19" t="inlineStr"/>
      <c r="I7" s="19" t="inlineStr">
        <is>
          <t>Not Tested</t>
        </is>
      </c>
      <c r="J7" s="19" t="inlineStr"/>
      <c r="K7" s="19" t="inlineStr"/>
      <c r="L7" s="19" t="inlineStr"/>
      <c r="M7" s="19" t="inlineStr"/>
    </row>
    <row r="8" ht="55" customHeight="1">
      <c r="A8" s="18" t="inlineStr">
        <is>
          <t>TC-D1-007</t>
        </is>
      </c>
      <c r="B8" s="18" t="inlineStr">
        <is>
          <t>Timezone</t>
        </is>
      </c>
      <c r="C8" s="18" t="inlineStr">
        <is>
          <t>Select EST timezone</t>
        </is>
      </c>
      <c r="D8" s="18" t="inlineStr">
        <is>
          <t>Medium</t>
        </is>
      </c>
      <c r="E8" s="18" t="inlineStr">
        <is>
          <t>Logged in successfully</t>
        </is>
      </c>
      <c r="F8" s="18" t="inlineStr">
        <is>
          <t>1. Arrive at timezone page
2. Select America/New_York (EST)
3. Click Confirm</t>
        </is>
      </c>
      <c r="G8" s="18" t="inlineStr">
        <is>
          <t>Session stores EST; redirected to data view</t>
        </is>
      </c>
      <c r="H8" s="18" t="inlineStr"/>
      <c r="I8" s="18" t="inlineStr">
        <is>
          <t>Not Tested</t>
        </is>
      </c>
      <c r="J8" s="18" t="inlineStr"/>
      <c r="K8" s="18" t="inlineStr"/>
      <c r="L8" s="18" t="inlineStr"/>
      <c r="M8" s="18" t="inlineStr"/>
    </row>
    <row r="9" ht="55" customHeight="1">
      <c r="A9" s="19" t="inlineStr">
        <is>
          <t>TC-D1-008</t>
        </is>
      </c>
      <c r="B9" s="19" t="inlineStr">
        <is>
          <t>Authentication</t>
        </is>
      </c>
      <c r="C9" s="19" t="inlineStr">
        <is>
          <t>Logout clears session</t>
        </is>
      </c>
      <c r="D9" s="19" t="inlineStr">
        <is>
          <t>High</t>
        </is>
      </c>
      <c r="E9" s="19" t="inlineStr">
        <is>
          <t>Logged in as EDITOR</t>
        </is>
      </c>
      <c r="F9" s="19" t="inlineStr">
        <is>
          <t>1. Navigate to /forecast_app/logout/
2. Try accessing a protected page</t>
        </is>
      </c>
      <c r="G9" s="19" t="inlineStr">
        <is>
          <t>User logged out; redirected to login; protected pages inaccessible</t>
        </is>
      </c>
      <c r="H9" s="19" t="inlineStr"/>
      <c r="I9" s="19" t="inlineStr">
        <is>
          <t>Not Tested</t>
        </is>
      </c>
      <c r="J9" s="19" t="inlineStr"/>
      <c r="K9" s="19" t="inlineStr"/>
      <c r="L9" s="19" t="inlineStr"/>
      <c r="M9" s="19" t="inlineStr"/>
    </row>
    <row r="10" ht="55" customHeight="1">
      <c r="A10" s="18" t="inlineStr">
        <is>
          <t>TC-D1-009</t>
        </is>
      </c>
      <c r="B10" s="18" t="inlineStr">
        <is>
          <t>Permissions</t>
        </is>
      </c>
      <c r="C10" s="18" t="inlineStr">
        <is>
          <t>EDITOR can access data view</t>
        </is>
      </c>
      <c r="D10" s="18" t="inlineStr">
        <is>
          <t>High</t>
        </is>
      </c>
      <c r="E10" s="18" t="inlineStr">
        <is>
          <t>EDITOR user logged in</t>
        </is>
      </c>
      <c r="F10" s="18" t="inlineStr">
        <is>
          <t>1. Login as EDITOR
2. Navigate to /forecast_app/data_view/</t>
        </is>
      </c>
      <c r="G10" s="18" t="inlineStr">
        <is>
          <t>Data view page loads successfully for EDITOR</t>
        </is>
      </c>
      <c r="H10" s="18" t="inlineStr"/>
      <c r="I10" s="18" t="inlineStr">
        <is>
          <t>Not Tested</t>
        </is>
      </c>
      <c r="J10" s="18" t="inlineStr"/>
      <c r="K10" s="18" t="inlineStr"/>
      <c r="L10" s="18" t="inlineStr"/>
      <c r="M10" s="18" t="inlineStr"/>
    </row>
    <row r="11" ht="55" customHeight="1">
      <c r="A11" s="19" t="inlineStr">
        <is>
          <t>TC-D1-010</t>
        </is>
      </c>
      <c r="B11" s="19" t="inlineStr">
        <is>
          <t>Permissions</t>
        </is>
      </c>
      <c r="C11" s="19" t="inlineStr">
        <is>
          <t>EDITOR can access upload view</t>
        </is>
      </c>
      <c r="D11" s="19" t="inlineStr">
        <is>
          <t>High</t>
        </is>
      </c>
      <c r="E11" s="19" t="inlineStr">
        <is>
          <t>EDITOR user logged in</t>
        </is>
      </c>
      <c r="F11" s="19" t="inlineStr">
        <is>
          <t>1. Login as EDITOR
2. Navigate to /forecast_app/upload_view/</t>
        </is>
      </c>
      <c r="G11" s="19" t="inlineStr">
        <is>
          <t>Upload page loads successfully for EDITOR</t>
        </is>
      </c>
      <c r="H11" s="19" t="inlineStr"/>
      <c r="I11" s="19" t="inlineStr">
        <is>
          <t>Not Tested</t>
        </is>
      </c>
      <c r="J11" s="19" t="inlineStr"/>
      <c r="K11" s="19" t="inlineStr"/>
      <c r="L11" s="19" t="inlineStr"/>
      <c r="M11" s="19" t="inlineStr"/>
    </row>
    <row r="12" ht="55" customHeight="1">
      <c r="A12" s="18" t="inlineStr">
        <is>
          <t>TC-D1-011</t>
        </is>
      </c>
      <c r="B12" s="18" t="inlineStr">
        <is>
          <t>Permissions</t>
        </is>
      </c>
      <c r="C12" s="18" t="inlineStr">
        <is>
          <t>ADMIN accesses cache management</t>
        </is>
      </c>
      <c r="D12" s="18" t="inlineStr">
        <is>
          <t>High</t>
        </is>
      </c>
      <c r="E12" s="18" t="inlineStr">
        <is>
          <t>ADMIN user logged in</t>
        </is>
      </c>
      <c r="F12" s="18" t="inlineStr">
        <is>
          <t>1. Login as ADMIN
2. Call /forecast_app/api/cache/clear/all/</t>
        </is>
      </c>
      <c r="G12" s="18" t="inlineStr">
        <is>
          <t>200 response; cache cleared successfully</t>
        </is>
      </c>
      <c r="H12" s="18" t="inlineStr"/>
      <c r="I12" s="18" t="inlineStr">
        <is>
          <t>Not Tested</t>
        </is>
      </c>
      <c r="J12" s="18" t="inlineStr"/>
      <c r="K12" s="18" t="inlineStr"/>
      <c r="L12" s="18" t="inlineStr"/>
      <c r="M12" s="18" t="inlineStr"/>
    </row>
    <row r="13" ht="55" customHeight="1">
      <c r="A13" s="19" t="inlineStr">
        <is>
          <t>TC-D1-012</t>
        </is>
      </c>
      <c r="B13" s="19" t="inlineStr">
        <is>
          <t>Permissions</t>
        </is>
      </c>
      <c r="C13" s="19" t="inlineStr">
        <is>
          <t>EDITOR blocked from admin-only endpoints</t>
        </is>
      </c>
      <c r="D13" s="19" t="inlineStr">
        <is>
          <t>High</t>
        </is>
      </c>
      <c r="E13" s="19" t="inlineStr">
        <is>
          <t>EDITOR user logged in</t>
        </is>
      </c>
      <c r="F13" s="19" t="inlineStr">
        <is>
          <t>1. Login as EDITOR
2. Call /forecast_app/api/cache/clear/all/</t>
        </is>
      </c>
      <c r="G13" s="19" t="inlineStr">
        <is>
          <t>403 Forbidden response returned</t>
        </is>
      </c>
      <c r="H13" s="19" t="inlineStr"/>
      <c r="I13" s="19" t="inlineStr">
        <is>
          <t>Not Tested</t>
        </is>
      </c>
      <c r="J13" s="19" t="inlineStr"/>
      <c r="K13" s="19" t="inlineStr"/>
      <c r="L13" s="19" t="inlineStr"/>
      <c r="M13" s="19" t="inlineStr"/>
    </row>
    <row r="14" ht="55" customHeight="1">
      <c r="A14" s="18" t="inlineStr">
        <is>
          <t>TC-D1-013</t>
        </is>
      </c>
      <c r="B14" s="18" t="inlineStr">
        <is>
          <t>File Upload</t>
        </is>
      </c>
      <c r="C14" s="18" t="inlineStr">
        <is>
          <t>Upload valid roster CSV</t>
        </is>
      </c>
      <c r="D14" s="18" t="inlineStr">
        <is>
          <t>High</t>
        </is>
      </c>
      <c r="E14" s="18" t="inlineStr">
        <is>
          <t>EDITOR logged in; valid roster.csv ready</t>
        </is>
      </c>
      <c r="F14" s="18" t="inlineStr">
        <is>
          <t>1. Navigate to upload view
2. Select file type = roster
3. Choose valid .csv file
4. Click Upload</t>
        </is>
      </c>
      <c r="G14" s="18" t="inlineStr">
        <is>
          <t>File accepted; upload initiated; progress shown</t>
        </is>
      </c>
      <c r="H14" s="18" t="inlineStr"/>
      <c r="I14" s="18" t="inlineStr">
        <is>
          <t>Not Tested</t>
        </is>
      </c>
      <c r="J14" s="18" t="inlineStr"/>
      <c r="K14" s="18" t="inlineStr"/>
      <c r="L14" s="18" t="inlineStr"/>
      <c r="M14" s="18" t="inlineStr"/>
    </row>
    <row r="15" ht="55" customHeight="1">
      <c r="A15" s="19" t="inlineStr">
        <is>
          <t>TC-D1-014</t>
        </is>
      </c>
      <c r="B15" s="19" t="inlineStr">
        <is>
          <t>File Upload</t>
        </is>
      </c>
      <c r="C15" s="19" t="inlineStr">
        <is>
          <t>Upload valid forecast Excel file</t>
        </is>
      </c>
      <c r="D15" s="19" t="inlineStr">
        <is>
          <t>High</t>
        </is>
      </c>
      <c r="E15" s="19" t="inlineStr">
        <is>
          <t>EDITOR logged in; valid forecast.xlsx ready</t>
        </is>
      </c>
      <c r="F15" s="19" t="inlineStr">
        <is>
          <t>1. Navigate to upload view
2. Select file type = forecast
3. Choose valid .xlsx file
4. Click Upload</t>
        </is>
      </c>
      <c r="G15" s="19" t="inlineStr">
        <is>
          <t>File accepted; upload initiated successfully</t>
        </is>
      </c>
      <c r="H15" s="19" t="inlineStr"/>
      <c r="I15" s="19" t="inlineStr">
        <is>
          <t>Not Tested</t>
        </is>
      </c>
      <c r="J15" s="19" t="inlineStr"/>
      <c r="K15" s="19" t="inlineStr"/>
      <c r="L15" s="19" t="inlineStr"/>
      <c r="M15" s="19" t="inlineStr"/>
    </row>
    <row r="16" ht="55" customHeight="1">
      <c r="A16" s="18" t="inlineStr">
        <is>
          <t>TC-D1-015</t>
        </is>
      </c>
      <c r="B16" s="18" t="inlineStr">
        <is>
          <t>File Upload</t>
        </is>
      </c>
      <c r="C16" s="18" t="inlineStr">
        <is>
          <t>Upload altered_forecast file</t>
        </is>
      </c>
      <c r="D16" s="18" t="inlineStr">
        <is>
          <t>Medium</t>
        </is>
      </c>
      <c r="E16" s="18" t="inlineStr">
        <is>
          <t>EDITOR logged in</t>
        </is>
      </c>
      <c r="F16" s="18" t="inlineStr">
        <is>
          <t>1. Navigate to upload view
2. Select file type = altered_forecast
3. Choose valid file
4. Click Upload</t>
        </is>
      </c>
      <c r="G16" s="18" t="inlineStr">
        <is>
          <t>File accepted and processing initiated</t>
        </is>
      </c>
      <c r="H16" s="18" t="inlineStr"/>
      <c r="I16" s="18" t="inlineStr">
        <is>
          <t>Not Tested</t>
        </is>
      </c>
      <c r="J16" s="18" t="inlineStr"/>
      <c r="K16" s="18" t="inlineStr"/>
      <c r="L16" s="18" t="inlineStr"/>
      <c r="M16" s="18" t="inlineStr"/>
    </row>
    <row r="17" ht="55" customHeight="1">
      <c r="A17" s="19" t="inlineStr">
        <is>
          <t>TC-D1-016</t>
        </is>
      </c>
      <c r="B17" s="19" t="inlineStr">
        <is>
          <t>File Upload</t>
        </is>
      </c>
      <c r="C17" s="19" t="inlineStr">
        <is>
          <t>Upload prod_team_roster file</t>
        </is>
      </c>
      <c r="D17" s="19" t="inlineStr">
        <is>
          <t>Medium</t>
        </is>
      </c>
      <c r="E17" s="19" t="inlineStr">
        <is>
          <t>EDITOR logged in</t>
        </is>
      </c>
      <c r="F17" s="19" t="inlineStr">
        <is>
          <t>1. Navigate to upload view
2. Select file type = prod_team_roster
3. Choose valid file
4. Click Upload</t>
        </is>
      </c>
      <c r="G17" s="19" t="inlineStr">
        <is>
          <t>File accepted and processing initiated</t>
        </is>
      </c>
      <c r="H17" s="19" t="inlineStr"/>
      <c r="I17" s="19" t="inlineStr">
        <is>
          <t>Not Tested</t>
        </is>
      </c>
      <c r="J17" s="19" t="inlineStr"/>
      <c r="K17" s="19" t="inlineStr"/>
      <c r="L17" s="19" t="inlineStr"/>
      <c r="M17" s="19" t="inlineStr"/>
    </row>
    <row r="18" ht="55" customHeight="1">
      <c r="A18" s="18" t="inlineStr">
        <is>
          <t>TC-D1-017</t>
        </is>
      </c>
      <c r="B18" s="18" t="inlineStr">
        <is>
          <t>File Upload</t>
        </is>
      </c>
      <c r="C18" s="18" t="inlineStr">
        <is>
          <t>Reject invalid file type (.txt)</t>
        </is>
      </c>
      <c r="D18" s="18" t="inlineStr">
        <is>
          <t>High</t>
        </is>
      </c>
      <c r="E18" s="18" t="inlineStr">
        <is>
          <t>EDITOR logged in</t>
        </is>
      </c>
      <c r="F18" s="18" t="inlineStr">
        <is>
          <t>1. Navigate to upload view
2. Select any upload type
3. Choose a .txt file
4. Click Upload</t>
        </is>
      </c>
      <c r="G18" s="18" t="inlineStr">
        <is>
          <t>Error: only CSV and Excel files allowed</t>
        </is>
      </c>
      <c r="H18" s="18" t="inlineStr"/>
      <c r="I18" s="18" t="inlineStr">
        <is>
          <t>Not Tested</t>
        </is>
      </c>
      <c r="J18" s="18" t="inlineStr"/>
      <c r="K18" s="18" t="inlineStr"/>
      <c r="L18" s="18" t="inlineStr"/>
      <c r="M18" s="18" t="inlineStr"/>
    </row>
    <row r="19" ht="55" customHeight="1">
      <c r="A19" s="19" t="inlineStr">
        <is>
          <t>TC-D1-018</t>
        </is>
      </c>
      <c r="B19" s="19" t="inlineStr">
        <is>
          <t>File Upload</t>
        </is>
      </c>
      <c r="C19" s="19" t="inlineStr">
        <is>
          <t>Reject invalid file type (.pdf)</t>
        </is>
      </c>
      <c r="D19" s="19" t="inlineStr">
        <is>
          <t>High</t>
        </is>
      </c>
      <c r="E19" s="19" t="inlineStr">
        <is>
          <t>EDITOR logged in</t>
        </is>
      </c>
      <c r="F19" s="19" t="inlineStr">
        <is>
          <t>1. Navigate to upload view
2. Select any upload type
3. Choose a .pdf file
4. Click Upload</t>
        </is>
      </c>
      <c r="G19" s="19" t="inlineStr">
        <is>
          <t>Error: unsupported file type rejected</t>
        </is>
      </c>
      <c r="H19" s="19" t="inlineStr"/>
      <c r="I19" s="19" t="inlineStr">
        <is>
          <t>Not Tested</t>
        </is>
      </c>
      <c r="J19" s="19" t="inlineStr"/>
      <c r="K19" s="19" t="inlineStr"/>
      <c r="L19" s="19" t="inlineStr"/>
      <c r="M19" s="19" t="inlineStr"/>
    </row>
    <row r="20" ht="55" customHeight="1">
      <c r="A20" s="18" t="inlineStr">
        <is>
          <t>TC-D1-019</t>
        </is>
      </c>
      <c r="B20" s="18" t="inlineStr">
        <is>
          <t>File Upload</t>
        </is>
      </c>
      <c r="C20" s="18" t="inlineStr">
        <is>
          <t>Upload progress tracking via API</t>
        </is>
      </c>
      <c r="D20" s="18" t="inlineStr">
        <is>
          <t>High</t>
        </is>
      </c>
      <c r="E20" s="18" t="inlineStr">
        <is>
          <t>File upload in progress</t>
        </is>
      </c>
      <c r="F20" s="18" t="inlineStr">
        <is>
          <t>1. Initiate file upload
2. Call /forecast_app/check_upload_progress/?file_upload_id=X
3. Inspect response</t>
        </is>
      </c>
      <c r="G20" s="18" t="inlineStr">
        <is>
          <t>Response includes: progress (0-100), status, success fields</t>
        </is>
      </c>
      <c r="H20" s="18" t="inlineStr"/>
      <c r="I20" s="18" t="inlineStr">
        <is>
          <t>Not Tested</t>
        </is>
      </c>
      <c r="J20" s="18" t="inlineStr"/>
      <c r="K20" s="18" t="inlineStr"/>
      <c r="L20" s="18" t="inlineStr"/>
      <c r="M20" s="18" t="inlineStr"/>
    </row>
    <row r="21" ht="55" customHeight="1">
      <c r="A21" s="19" t="inlineStr">
        <is>
          <t>TC-D1-020</t>
        </is>
      </c>
      <c r="B21" s="19" t="inlineStr">
        <is>
          <t>File Upload</t>
        </is>
      </c>
      <c r="C21" s="19" t="inlineStr">
        <is>
          <t>WebSocket real-time progress updates</t>
        </is>
      </c>
      <c r="D21" s="19" t="inlineStr">
        <is>
          <t>High</t>
        </is>
      </c>
      <c r="E21" s="19" t="inlineStr">
        <is>
          <t>File upload in progress</t>
        </is>
      </c>
      <c r="F21" s="19" t="inlineStr">
        <is>
          <t>1. Connect to /ws/up/ WebSocket
2. Initiate file upload
3. Monitor WebSocket messages</t>
        </is>
      </c>
      <c r="G21" s="19" t="inlineStr">
        <is>
          <t>Real-time progress messages received (0 → 100)</t>
        </is>
      </c>
      <c r="H21" s="19" t="inlineStr"/>
      <c r="I21" s="19" t="inlineStr">
        <is>
          <t>Not Tested</t>
        </is>
      </c>
      <c r="J21" s="19" t="inlineStr"/>
      <c r="K21" s="19" t="inlineStr"/>
      <c r="L21" s="19" t="inlineStr"/>
      <c r="M21" s="19" t="inlineStr"/>
    </row>
    <row r="22" ht="55" customHeight="1">
      <c r="A22" s="18" t="inlineStr">
        <is>
          <t>TC-D1-021</t>
        </is>
      </c>
      <c r="B22" s="18" t="inlineStr">
        <is>
          <t>File Upload</t>
        </is>
      </c>
      <c r="C22" s="18" t="inlineStr">
        <is>
          <t>Cache invalidated after forecast upload</t>
        </is>
      </c>
      <c r="D22" s="18" t="inlineStr">
        <is>
          <t>High</t>
        </is>
      </c>
      <c r="E22" s="18" t="inlineStr">
        <is>
          <t>Forecast file successfully uploaded</t>
        </is>
      </c>
      <c r="F22" s="18" t="inlineStr">
        <is>
          <t>1. Note current cached forecast data
2. Upload new forecast file
3. Reload data view</t>
        </is>
      </c>
      <c r="G22" s="18" t="inlineStr">
        <is>
          <t>Fresh data loaded from FastAPI backend (cache cleared)</t>
        </is>
      </c>
      <c r="H22" s="18" t="inlineStr"/>
      <c r="I22" s="18" t="inlineStr">
        <is>
          <t>Not Tested</t>
        </is>
      </c>
      <c r="J22" s="18" t="inlineStr"/>
      <c r="K22" s="18" t="inlineStr"/>
      <c r="L22" s="18" t="inlineStr"/>
      <c r="M22" s="18" t="inlineStr"/>
    </row>
    <row r="23" ht="55" customHeight="1">
      <c r="A23" s="19" t="inlineStr">
        <is>
          <t>TC-D1-022</t>
        </is>
      </c>
      <c r="B23" s="19" t="inlineStr">
        <is>
          <t>Navigation</t>
        </is>
      </c>
      <c r="C23" s="19" t="inlineStr">
        <is>
          <t>Top navigation menu visible</t>
        </is>
      </c>
      <c r="D23" s="19" t="inlineStr">
        <is>
          <t>Medium</t>
        </is>
      </c>
      <c r="E23" s="19" t="inlineStr">
        <is>
          <t>Logged in as EDITOR</t>
        </is>
      </c>
      <c r="F23" s="19" t="inlineStr">
        <is>
          <t>1. Navigate to any authenticated page
2. Check top navigation elements</t>
        </is>
      </c>
      <c r="G23" s="19" t="inlineStr">
        <is>
          <t>Logo, user profile dropdown, and page links all visible</t>
        </is>
      </c>
      <c r="H23" s="19" t="inlineStr"/>
      <c r="I23" s="19" t="inlineStr">
        <is>
          <t>Not Tested</t>
        </is>
      </c>
      <c r="J23" s="19" t="inlineStr"/>
      <c r="K23" s="19" t="inlineStr"/>
      <c r="L23" s="19" t="inlineStr"/>
      <c r="M23" s="19" t="inlineStr"/>
    </row>
    <row r="24" ht="55" customHeight="1">
      <c r="A24" s="18" t="inlineStr">
        <is>
          <t>TC-D1-023</t>
        </is>
      </c>
      <c r="B24" s="18" t="inlineStr">
        <is>
          <t>Navigation</t>
        </is>
      </c>
      <c r="C24" s="18" t="inlineStr">
        <is>
          <t>User profile shows name and timezone</t>
        </is>
      </c>
      <c r="D24" s="18" t="inlineStr">
        <is>
          <t>Medium</t>
        </is>
      </c>
      <c r="E24" s="18" t="inlineStr">
        <is>
          <t>Logged in with timezone selected</t>
        </is>
      </c>
      <c r="F24" s="18" t="inlineStr">
        <is>
          <t>1. Click user profile dropdown in top nav</t>
        </is>
      </c>
      <c r="G24" s="18" t="inlineStr">
        <is>
          <t>Username, selected timezone, and logout link visible</t>
        </is>
      </c>
      <c r="H24" s="18" t="inlineStr"/>
      <c r="I24" s="18" t="inlineStr">
        <is>
          <t>Not Tested</t>
        </is>
      </c>
      <c r="J24" s="18" t="inlineStr"/>
      <c r="K24" s="18" t="inlineStr"/>
      <c r="L24" s="18" t="inlineStr"/>
      <c r="M24" s="18" t="inlineStr"/>
    </row>
    <row r="25" ht="55" customHeight="1">
      <c r="A25" s="19" t="inlineStr">
        <is>
          <t>TC-D1-024</t>
        </is>
      </c>
      <c r="B25" s="19" t="inlineStr">
        <is>
          <t>Navigation</t>
        </is>
      </c>
      <c r="C25" s="19" t="inlineStr">
        <is>
          <t>Unauthenticated access redirects to login</t>
        </is>
      </c>
      <c r="D25" s="19" t="inlineStr">
        <is>
          <t>High</t>
        </is>
      </c>
      <c r="E25" s="19" t="inlineStr">
        <is>
          <t>Not logged in</t>
        </is>
      </c>
      <c r="F25" s="19" t="inlineStr">
        <is>
          <t>1. Navigate directly to /forecast_app/data_view/ without login</t>
        </is>
      </c>
      <c r="G25" s="19" t="inlineStr">
        <is>
          <t>Redirected to login page with next= parameter</t>
        </is>
      </c>
      <c r="H25" s="19" t="inlineStr"/>
      <c r="I25" s="19" t="inlineStr">
        <is>
          <t>Not Tested</t>
        </is>
      </c>
      <c r="J25" s="19" t="inlineStr"/>
      <c r="K25" s="19" t="inlineStr"/>
      <c r="L25" s="19" t="inlineStr"/>
      <c r="M25" s="19" t="inlineStr"/>
    </row>
    <row r="26" ht="55" customHeight="1">
      <c r="A26" s="18" t="inlineStr">
        <is>
          <t>TC-D1-025</t>
        </is>
      </c>
      <c r="B26" s="18" t="inlineStr">
        <is>
          <t>Navigation</t>
        </is>
      </c>
      <c r="C26" s="18" t="inlineStr">
        <is>
          <t>Chat widget visible on all pages</t>
        </is>
      </c>
      <c r="D26" s="18" t="inlineStr">
        <is>
          <t>Low</t>
        </is>
      </c>
      <c r="E26" s="18" t="inlineStr">
        <is>
          <t>Logged in as EDITOR</t>
        </is>
      </c>
      <c r="F26" s="18" t="inlineStr">
        <is>
          <t>1. Navigate to data view
2. Navigate to manager view
3. Navigate to edit view</t>
        </is>
      </c>
      <c r="G26" s="18" t="inlineStr">
        <is>
          <t>Chat widget (bottom-right corner) visible on all authenticated pages</t>
        </is>
      </c>
      <c r="H26" s="18" t="inlineStr"/>
      <c r="I26" s="18" t="inlineStr">
        <is>
          <t>Not Tested</t>
        </is>
      </c>
      <c r="J26" s="18" t="inlineStr"/>
      <c r="K26" s="18" t="inlineStr"/>
      <c r="L26" s="18" t="inlineStr"/>
      <c r="M26" s="18" t="inlineStr"/>
    </row>
  </sheetData>
  <autoFilter ref="A1:M1"/>
  <dataValidations count="2">
    <dataValidation sqref="I2:I27" showDropDown="0" showInputMessage="0" showErrorMessage="1" allowBlank="1" errorTitle="Status Error" error="Invalid status" type="list">
      <formula1>"Pass,Fail,Blocked,Not Tested,In Progress"</formula1>
    </dataValidation>
    <dataValidation sqref="D2:D27" showDropDown="0" showInputMessage="0" showErrorMessage="1" allowBlank="1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0" customWidth="1" min="4" max="4"/>
    <col width="40" customWidth="1" min="5" max="5"/>
    <col width="60" customWidth="1" min="6" max="6"/>
    <col width="45" customWidth="1" min="7" max="7"/>
    <col width="45" customWidth="1" min="8" max="8"/>
    <col width="15" customWidth="1" min="9" max="9"/>
    <col width="12" customWidth="1" min="10" max="10"/>
    <col width="15" customWidth="1" min="11" max="11"/>
    <col width="15" customWidth="1" min="12" max="12"/>
    <col width="30" customWidth="1" min="13" max="13"/>
  </cols>
  <sheetData>
    <row r="1" ht="30" customHeight="1">
      <c r="A1" s="6" t="inlineStr">
        <is>
          <t>TC-ID</t>
        </is>
      </c>
      <c r="B1" s="6" t="inlineStr">
        <is>
          <t>Module</t>
        </is>
      </c>
      <c r="C1" s="6" t="inlineStr">
        <is>
          <t>Test Case Name</t>
        </is>
      </c>
      <c r="D1" s="6" t="inlineStr">
        <is>
          <t>Priority</t>
        </is>
      </c>
      <c r="E1" s="6" t="inlineStr">
        <is>
          <t>Pre-conditions</t>
        </is>
      </c>
      <c r="F1" s="6" t="inlineStr">
        <is>
          <t>Test Steps</t>
        </is>
      </c>
      <c r="G1" s="6" t="inlineStr">
        <is>
          <t>Expected Result</t>
        </is>
      </c>
      <c r="H1" s="6" t="inlineStr">
        <is>
          <t>Actual Result</t>
        </is>
      </c>
      <c r="I1" s="6" t="inlineStr">
        <is>
          <t>Status</t>
        </is>
      </c>
      <c r="J1" s="6" t="inlineStr">
        <is>
          <t>Bug-ID</t>
        </is>
      </c>
      <c r="K1" s="6" t="inlineStr">
        <is>
          <t>Tested By</t>
        </is>
      </c>
      <c r="L1" s="6" t="inlineStr">
        <is>
          <t>Tested On</t>
        </is>
      </c>
      <c r="M1" s="6" t="inlineStr">
        <is>
          <t>Notes</t>
        </is>
      </c>
    </row>
    <row r="2" ht="55" customHeight="1">
      <c r="A2" s="18" t="inlineStr">
        <is>
          <t>TC-D2-001</t>
        </is>
      </c>
      <c r="B2" s="18" t="inlineStr">
        <is>
          <t>Data Type</t>
        </is>
      </c>
      <c r="C2" s="18" t="inlineStr">
        <is>
          <t>Select Roster data type</t>
        </is>
      </c>
      <c r="D2" s="18" t="inlineStr">
        <is>
          <t>High</t>
        </is>
      </c>
      <c r="E2" s="18" t="inlineStr">
        <is>
          <t>Logged in; data available</t>
        </is>
      </c>
      <c r="F2" s="18" t="inlineStr">
        <is>
          <t>1. Navigate to /forecast_app/data_view/
2. Select Roster from data type selector</t>
        </is>
      </c>
      <c r="G2" s="18" t="inlineStr">
        <is>
          <t>Roster-specific filter chain loads (no worktype filter)</t>
        </is>
      </c>
      <c r="H2" s="18" t="inlineStr"/>
      <c r="I2" s="18" t="inlineStr">
        <is>
          <t>Not Tested</t>
        </is>
      </c>
      <c r="J2" s="18" t="inlineStr"/>
      <c r="K2" s="18" t="inlineStr"/>
      <c r="L2" s="18" t="inlineStr"/>
      <c r="M2" s="18" t="inlineStr"/>
    </row>
    <row r="3" ht="55" customHeight="1">
      <c r="A3" s="19" t="inlineStr">
        <is>
          <t>TC-D2-002</t>
        </is>
      </c>
      <c r="B3" s="19" t="inlineStr">
        <is>
          <t>Data Type</t>
        </is>
      </c>
      <c r="C3" s="19" t="inlineStr">
        <is>
          <t>Select Forecast data type</t>
        </is>
      </c>
      <c r="D3" s="19" t="inlineStr">
        <is>
          <t>High</t>
        </is>
      </c>
      <c r="E3" s="19" t="inlineStr">
        <is>
          <t>Logged in; data available</t>
        </is>
      </c>
      <c r="F3" s="19" t="inlineStr">
        <is>
          <t>1. Navigate to data view
2. Select Forecast from data type selector</t>
        </is>
      </c>
      <c r="G3" s="19" t="inlineStr">
        <is>
          <t>Full cascade filter chain loads including worktype</t>
        </is>
      </c>
      <c r="H3" s="19" t="inlineStr"/>
      <c r="I3" s="19" t="inlineStr">
        <is>
          <t>Not Tested</t>
        </is>
      </c>
      <c r="J3" s="19" t="inlineStr"/>
      <c r="K3" s="19" t="inlineStr"/>
      <c r="L3" s="19" t="inlineStr"/>
      <c r="M3" s="19" t="inlineStr"/>
    </row>
    <row r="4" ht="55" customHeight="1">
      <c r="A4" s="18" t="inlineStr">
        <is>
          <t>TC-D2-003</t>
        </is>
      </c>
      <c r="B4" s="18" t="inlineStr">
        <is>
          <t>Data Type</t>
        </is>
      </c>
      <c r="C4" s="18" t="inlineStr">
        <is>
          <t>Select Prod Team Roster</t>
        </is>
      </c>
      <c r="D4" s="18" t="inlineStr">
        <is>
          <t>Medium</t>
        </is>
      </c>
      <c r="E4" s="18" t="inlineStr">
        <is>
          <t>Logged in</t>
        </is>
      </c>
      <c r="F4" s="18" t="inlineStr">
        <is>
          <t>1. Navigate to data view
2. Select Prod Team Roster</t>
        </is>
      </c>
      <c r="G4" s="18" t="inlineStr">
        <is>
          <t>Prod team roster filter chain loads</t>
        </is>
      </c>
      <c r="H4" s="18" t="inlineStr"/>
      <c r="I4" s="18" t="inlineStr">
        <is>
          <t>Not Tested</t>
        </is>
      </c>
      <c r="J4" s="18" t="inlineStr"/>
      <c r="K4" s="18" t="inlineStr"/>
      <c r="L4" s="18" t="inlineStr"/>
      <c r="M4" s="18" t="inlineStr"/>
    </row>
    <row r="5" ht="55" customHeight="1">
      <c r="A5" s="19" t="inlineStr">
        <is>
          <t>TC-D2-004</t>
        </is>
      </c>
      <c r="B5" s="19" t="inlineStr">
        <is>
          <t>Data Type</t>
        </is>
      </c>
      <c r="C5" s="19" t="inlineStr">
        <is>
          <t>Select Summary data type</t>
        </is>
      </c>
      <c r="D5" s="19" t="inlineStr">
        <is>
          <t>Medium</t>
        </is>
      </c>
      <c r="E5" s="19" t="inlineStr">
        <is>
          <t>Logged in</t>
        </is>
      </c>
      <c r="F5" s="19" t="inlineStr">
        <is>
          <t>1. Navigate to data view
2. Select Summary</t>
        </is>
      </c>
      <c r="G5" s="19" t="inlineStr">
        <is>
          <t>Summary filter options load</t>
        </is>
      </c>
      <c r="H5" s="19" t="inlineStr"/>
      <c r="I5" s="19" t="inlineStr">
        <is>
          <t>Not Tested</t>
        </is>
      </c>
      <c r="J5" s="19" t="inlineStr"/>
      <c r="K5" s="19" t="inlineStr"/>
      <c r="L5" s="19" t="inlineStr"/>
      <c r="M5" s="19" t="inlineStr"/>
    </row>
    <row r="6" ht="55" customHeight="1">
      <c r="A6" s="18" t="inlineStr">
        <is>
          <t>TC-D2-005</t>
        </is>
      </c>
      <c r="B6" s="18" t="inlineStr">
        <is>
          <t>Cascade Filters</t>
        </is>
      </c>
      <c r="C6" s="18" t="inlineStr">
        <is>
          <t>Year filter loads available years</t>
        </is>
      </c>
      <c r="D6" s="18" t="inlineStr">
        <is>
          <t>High</t>
        </is>
      </c>
      <c r="E6" s="18" t="inlineStr">
        <is>
          <t>Forecast type selected</t>
        </is>
      </c>
      <c r="F6" s="18" t="inlineStr">
        <is>
          <t>1. Select Forecast data type
2. Open year dropdown</t>
        </is>
      </c>
      <c r="G6" s="18" t="inlineStr">
        <is>
          <t>Available forecast years listed (e.g., 2024, 2025)</t>
        </is>
      </c>
      <c r="H6" s="18" t="inlineStr"/>
      <c r="I6" s="18" t="inlineStr">
        <is>
          <t>Not Tested</t>
        </is>
      </c>
      <c r="J6" s="18" t="inlineStr"/>
      <c r="K6" s="18" t="inlineStr"/>
      <c r="L6" s="18" t="inlineStr"/>
      <c r="M6" s="18" t="inlineStr"/>
    </row>
    <row r="7" ht="55" customHeight="1">
      <c r="A7" s="19" t="inlineStr">
        <is>
          <t>TC-D2-006</t>
        </is>
      </c>
      <c r="B7" s="19" t="inlineStr">
        <is>
          <t>Cascade Filters</t>
        </is>
      </c>
      <c r="C7" s="19" t="inlineStr">
        <is>
          <t>Month filter populates after year selection</t>
        </is>
      </c>
      <c r="D7" s="19" t="inlineStr">
        <is>
          <t>High</t>
        </is>
      </c>
      <c r="E7" s="19" t="inlineStr">
        <is>
          <t>Year selected</t>
        </is>
      </c>
      <c r="F7" s="19" t="inlineStr">
        <is>
          <t>1. Select year 2024
2. Open month dropdown</t>
        </is>
      </c>
      <c r="G7" s="19" t="inlineStr">
        <is>
          <t>Only months with data for selected year shown</t>
        </is>
      </c>
      <c r="H7" s="19" t="inlineStr"/>
      <c r="I7" s="19" t="inlineStr">
        <is>
          <t>Not Tested</t>
        </is>
      </c>
      <c r="J7" s="19" t="inlineStr"/>
      <c r="K7" s="19" t="inlineStr"/>
      <c r="L7" s="19" t="inlineStr"/>
      <c r="M7" s="19" t="inlineStr"/>
    </row>
    <row r="8" ht="55" customHeight="1">
      <c r="A8" s="18" t="inlineStr">
        <is>
          <t>TC-D2-007</t>
        </is>
      </c>
      <c r="B8" s="18" t="inlineStr">
        <is>
          <t>Cascade Filters</t>
        </is>
      </c>
      <c r="C8" s="18" t="inlineStr">
        <is>
          <t>Platform filter populates after month selection</t>
        </is>
      </c>
      <c r="D8" s="18" t="inlineStr">
        <is>
          <t>High</t>
        </is>
      </c>
      <c r="E8" s="18" t="inlineStr">
        <is>
          <t>Year and month selected</t>
        </is>
      </c>
      <c r="F8" s="18" t="inlineStr">
        <is>
          <t>1. Select year
2. Select month
3. Open platform dropdown</t>
        </is>
      </c>
      <c r="G8" s="18" t="inlineStr">
        <is>
          <t>Platforms available for selected year+month shown</t>
        </is>
      </c>
      <c r="H8" s="18" t="inlineStr"/>
      <c r="I8" s="18" t="inlineStr">
        <is>
          <t>Not Tested</t>
        </is>
      </c>
      <c r="J8" s="18" t="inlineStr"/>
      <c r="K8" s="18" t="inlineStr"/>
      <c r="L8" s="18" t="inlineStr"/>
      <c r="M8" s="18" t="inlineStr"/>
    </row>
    <row r="9" ht="55" customHeight="1">
      <c r="A9" s="19" t="inlineStr">
        <is>
          <t>TC-D2-008</t>
        </is>
      </c>
      <c r="B9" s="19" t="inlineStr">
        <is>
          <t>Cascade Filters</t>
        </is>
      </c>
      <c r="C9" s="19" t="inlineStr">
        <is>
          <t>Market filter populates after platform selection</t>
        </is>
      </c>
      <c r="D9" s="19" t="inlineStr">
        <is>
          <t>High</t>
        </is>
      </c>
      <c r="E9" s="19" t="inlineStr">
        <is>
          <t>Year, month, platform selected</t>
        </is>
      </c>
      <c r="F9" s="19" t="inlineStr">
        <is>
          <t>1. Select year, month, platform
2. Open market dropdown</t>
        </is>
      </c>
      <c r="G9" s="19" t="inlineStr">
        <is>
          <t>Markets for selected platform shown</t>
        </is>
      </c>
      <c r="H9" s="19" t="inlineStr"/>
      <c r="I9" s="19" t="inlineStr">
        <is>
          <t>Not Tested</t>
        </is>
      </c>
      <c r="J9" s="19" t="inlineStr"/>
      <c r="K9" s="19" t="inlineStr"/>
      <c r="L9" s="19" t="inlineStr"/>
      <c r="M9" s="19" t="inlineStr"/>
    </row>
    <row r="10" ht="55" customHeight="1">
      <c r="A10" s="18" t="inlineStr">
        <is>
          <t>TC-D2-009</t>
        </is>
      </c>
      <c r="B10" s="18" t="inlineStr">
        <is>
          <t>Cascade Filters</t>
        </is>
      </c>
      <c r="C10" s="18" t="inlineStr">
        <is>
          <t>Locality filter includes All option</t>
        </is>
      </c>
      <c r="D10" s="18" t="inlineStr">
        <is>
          <t>Medium</t>
        </is>
      </c>
      <c r="E10" s="18" t="inlineStr">
        <is>
          <t>Year through market selected</t>
        </is>
      </c>
      <c r="F10" s="18" t="inlineStr">
        <is>
          <t>1. Select year through market
2. Open locality dropdown</t>
        </is>
      </c>
      <c r="G10" s="18" t="inlineStr">
        <is>
          <t>Options shown including 'All' option</t>
        </is>
      </c>
      <c r="H10" s="18" t="inlineStr"/>
      <c r="I10" s="18" t="inlineStr">
        <is>
          <t>Not Tested</t>
        </is>
      </c>
      <c r="J10" s="18" t="inlineStr"/>
      <c r="K10" s="18" t="inlineStr"/>
      <c r="L10" s="18" t="inlineStr"/>
      <c r="M10" s="18" t="inlineStr"/>
    </row>
    <row r="11" ht="55" customHeight="1">
      <c r="A11" s="19" t="inlineStr">
        <is>
          <t>TC-D2-010</t>
        </is>
      </c>
      <c r="B11" s="19" t="inlineStr">
        <is>
          <t>Cascade Filters</t>
        </is>
      </c>
      <c r="C11" s="19" t="inlineStr">
        <is>
          <t>Worktype filter populates last</t>
        </is>
      </c>
      <c r="D11" s="19" t="inlineStr">
        <is>
          <t>High</t>
        </is>
      </c>
      <c r="E11" s="19" t="inlineStr">
        <is>
          <t>All prior filters selected</t>
        </is>
      </c>
      <c r="F11" s="19" t="inlineStr">
        <is>
          <t>1. Complete all prior selections
2. Open worktype dropdown</t>
        </is>
      </c>
      <c r="G11" s="19" t="inlineStr">
        <is>
          <t>Worktypes available for all selected filters shown</t>
        </is>
      </c>
      <c r="H11" s="19" t="inlineStr"/>
      <c r="I11" s="19" t="inlineStr">
        <is>
          <t>Not Tested</t>
        </is>
      </c>
      <c r="J11" s="19" t="inlineStr"/>
      <c r="K11" s="19" t="inlineStr"/>
      <c r="L11" s="19" t="inlineStr"/>
      <c r="M11" s="19" t="inlineStr"/>
    </row>
    <row r="12" ht="55" customHeight="1">
      <c r="A12" s="18" t="inlineStr">
        <is>
          <t>TC-D2-011</t>
        </is>
      </c>
      <c r="B12" s="18" t="inlineStr">
        <is>
          <t>Cascade Filters</t>
        </is>
      </c>
      <c r="C12" s="18" t="inlineStr">
        <is>
          <t>Changing year resets downstream filters</t>
        </is>
      </c>
      <c r="D12" s="18" t="inlineStr">
        <is>
          <t>High</t>
        </is>
      </c>
      <c r="E12" s="18" t="inlineStr">
        <is>
          <t>All filters selected</t>
        </is>
      </c>
      <c r="F12" s="18" t="inlineStr">
        <is>
          <t>1. Select all filters
2. Change year selection</t>
        </is>
      </c>
      <c r="G12" s="18" t="inlineStr">
        <is>
          <t>Month, platform, market, locality, worktype reset</t>
        </is>
      </c>
      <c r="H12" s="18" t="inlineStr"/>
      <c r="I12" s="18" t="inlineStr">
        <is>
          <t>Not Tested</t>
        </is>
      </c>
      <c r="J12" s="18" t="inlineStr"/>
      <c r="K12" s="18" t="inlineStr"/>
      <c r="L12" s="18" t="inlineStr"/>
      <c r="M12" s="18" t="inlineStr"/>
    </row>
    <row r="13" ht="55" customHeight="1">
      <c r="A13" s="19" t="inlineStr">
        <is>
          <t>TC-D2-012</t>
        </is>
      </c>
      <c r="B13" s="19" t="inlineStr">
        <is>
          <t>Cascade Filters</t>
        </is>
      </c>
      <c r="C13" s="19" t="inlineStr">
        <is>
          <t>Missing year shows validation error</t>
        </is>
      </c>
      <c r="D13" s="19" t="inlineStr">
        <is>
          <t>Medium</t>
        </is>
      </c>
      <c r="E13" s="19" t="inlineStr">
        <is>
          <t>Data view open</t>
        </is>
      </c>
      <c r="F13" s="19" t="inlineStr">
        <is>
          <t>1. Skip year selection
2. Try to load data without year</t>
        </is>
      </c>
      <c r="G13" s="19" t="inlineStr">
        <is>
          <t>Validation error: year is required</t>
        </is>
      </c>
      <c r="H13" s="19" t="inlineStr"/>
      <c r="I13" s="19" t="inlineStr">
        <is>
          <t>Not Tested</t>
        </is>
      </c>
      <c r="J13" s="19" t="inlineStr"/>
      <c r="K13" s="19" t="inlineStr"/>
      <c r="L13" s="19" t="inlineStr"/>
      <c r="M13" s="19" t="inlineStr"/>
    </row>
    <row r="14" ht="55" customHeight="1">
      <c r="A14" s="18" t="inlineStr">
        <is>
          <t>TC-D2-013</t>
        </is>
      </c>
      <c r="B14" s="18" t="inlineStr">
        <is>
          <t>Cascade Filters</t>
        </is>
      </c>
      <c r="C14" s="18" t="inlineStr">
        <is>
          <t>Select2 searchable dropdown works</t>
        </is>
      </c>
      <c r="D14" s="18" t="inlineStr">
        <is>
          <t>Medium</t>
        </is>
      </c>
      <c r="E14" s="18" t="inlineStr">
        <is>
          <t>Filter dropdown open</t>
        </is>
      </c>
      <c r="F14" s="18" t="inlineStr">
        <is>
          <t>1. Open platform dropdown
2. Type partial platform name in search box</t>
        </is>
      </c>
      <c r="G14" s="18" t="inlineStr">
        <is>
          <t>Filtered options shown matching search text</t>
        </is>
      </c>
      <c r="H14" s="18" t="inlineStr"/>
      <c r="I14" s="18" t="inlineStr">
        <is>
          <t>Not Tested</t>
        </is>
      </c>
      <c r="J14" s="18" t="inlineStr"/>
      <c r="K14" s="18" t="inlineStr"/>
      <c r="L14" s="18" t="inlineStr"/>
      <c r="M14" s="18" t="inlineStr"/>
    </row>
    <row r="15" ht="55" customHeight="1">
      <c r="A15" s="19" t="inlineStr">
        <is>
          <t>TC-D2-014</t>
        </is>
      </c>
      <c r="B15" s="19" t="inlineStr">
        <is>
          <t>Cascade Filters</t>
        </is>
      </c>
      <c r="C15" s="19" t="inlineStr">
        <is>
          <t>Filter APIs return correct data per step</t>
        </is>
      </c>
      <c r="D15" s="19" t="inlineStr">
        <is>
          <t>High</t>
        </is>
      </c>
      <c r="E15" s="19" t="inlineStr">
        <is>
          <t>Network tab open in browser dev tools</t>
        </is>
      </c>
      <c r="F15" s="19" t="inlineStr">
        <is>
          <t>1. Monitor network calls during filter selection
2. Check /forecast_app/forecast/months/ etc.</t>
        </is>
      </c>
      <c r="G15" s="19" t="inlineStr">
        <is>
          <t>Each API call returns correctly filtered options for selections made</t>
        </is>
      </c>
      <c r="H15" s="19" t="inlineStr"/>
      <c r="I15" s="19" t="inlineStr">
        <is>
          <t>Not Tested</t>
        </is>
      </c>
      <c r="J15" s="19" t="inlineStr"/>
      <c r="K15" s="19" t="inlineStr"/>
      <c r="L15" s="19" t="inlineStr"/>
      <c r="M15" s="19" t="inlineStr"/>
    </row>
    <row r="16" ht="55" customHeight="1">
      <c r="A16" s="18" t="inlineStr">
        <is>
          <t>TC-D2-015</t>
        </is>
      </c>
      <c r="B16" s="18" t="inlineStr">
        <is>
          <t>Cascade Filters</t>
        </is>
      </c>
      <c r="C16" s="18" t="inlineStr">
        <is>
          <t>Empty result state handled gracefully</t>
        </is>
      </c>
      <c r="D16" s="18" t="inlineStr">
        <is>
          <t>Medium</t>
        </is>
      </c>
      <c r="E16" s="18" t="inlineStr">
        <is>
          <t>Filters with no data selected</t>
        </is>
      </c>
      <c r="F16" s="18" t="inlineStr">
        <is>
          <t>1. Select combination with no available data
2. Check dropdown result</t>
        </is>
      </c>
      <c r="G16" s="18" t="inlineStr">
        <is>
          <t>'No options available' shown; no JS error thrown</t>
        </is>
      </c>
      <c r="H16" s="18" t="inlineStr"/>
      <c r="I16" s="18" t="inlineStr">
        <is>
          <t>Not Tested</t>
        </is>
      </c>
      <c r="J16" s="18" t="inlineStr"/>
      <c r="K16" s="18" t="inlineStr"/>
      <c r="L16" s="18" t="inlineStr"/>
      <c r="M16" s="18" t="inlineStr"/>
    </row>
    <row r="17" ht="55" customHeight="1">
      <c r="A17" s="19" t="inlineStr">
        <is>
          <t>TC-D2-016</t>
        </is>
      </c>
      <c r="B17" s="19" t="inlineStr">
        <is>
          <t>Cascade Filters</t>
        </is>
      </c>
      <c r="C17" s="19" t="inlineStr">
        <is>
          <t>Backend unavailable shows graceful error</t>
        </is>
      </c>
      <c r="D17" s="19" t="inlineStr">
        <is>
          <t>High</t>
        </is>
      </c>
      <c r="E17" s="19" t="inlineStr">
        <is>
          <t>FastAPI backend stopped</t>
        </is>
      </c>
      <c r="F17" s="19" t="inlineStr">
        <is>
          <t>1. Stop FastAPI backend at 127.0.0.1:8888
2. Open filter dropdown</t>
        </is>
      </c>
      <c r="G17" s="19" t="inlineStr">
        <is>
          <t>User-friendly error message shown; no unhandled exception</t>
        </is>
      </c>
      <c r="H17" s="19" t="inlineStr"/>
      <c r="I17" s="19" t="inlineStr">
        <is>
          <t>Not Tested</t>
        </is>
      </c>
      <c r="J17" s="19" t="inlineStr"/>
      <c r="K17" s="19" t="inlineStr"/>
      <c r="L17" s="19" t="inlineStr"/>
      <c r="M17" s="19" t="inlineStr"/>
    </row>
    <row r="18" ht="55" customHeight="1">
      <c r="A18" s="18" t="inlineStr">
        <is>
          <t>TC-D2-017</t>
        </is>
      </c>
      <c r="B18" s="18" t="inlineStr">
        <is>
          <t>Roster Table</t>
        </is>
      </c>
      <c r="C18" s="18" t="inlineStr">
        <is>
          <t>Roster data displays in DataTable</t>
        </is>
      </c>
      <c r="D18" s="18" t="inlineStr">
        <is>
          <t>High</t>
        </is>
      </c>
      <c r="E18" s="18" t="inlineStr">
        <is>
          <t>Roster filters selected</t>
        </is>
      </c>
      <c r="F18" s="18" t="inlineStr">
        <is>
          <t>1. Select all roster filters
2. Click Load/Apply</t>
        </is>
      </c>
      <c r="G18" s="18" t="inlineStr">
        <is>
          <t>Roster records shown in DataTable with pagination controls</t>
        </is>
      </c>
      <c r="H18" s="18" t="inlineStr"/>
      <c r="I18" s="18" t="inlineStr">
        <is>
          <t>Not Tested</t>
        </is>
      </c>
      <c r="J18" s="18" t="inlineStr"/>
      <c r="K18" s="18" t="inlineStr"/>
      <c r="L18" s="18" t="inlineStr"/>
      <c r="M18" s="18" t="inlineStr"/>
    </row>
    <row r="19" ht="55" customHeight="1">
      <c r="A19" s="19" t="inlineStr">
        <is>
          <t>TC-D2-018</t>
        </is>
      </c>
      <c r="B19" s="19" t="inlineStr">
        <is>
          <t>Roster Table</t>
        </is>
      </c>
      <c r="C19" s="19" t="inlineStr">
        <is>
          <t>Roster table pagination works</t>
        </is>
      </c>
      <c r="D19" s="19" t="inlineStr">
        <is>
          <t>Medium</t>
        </is>
      </c>
      <c r="E19" s="19" t="inlineStr">
        <is>
          <t>Roster data loaded</t>
        </is>
      </c>
      <c r="F19" s="19" t="inlineStr">
        <is>
          <t>1. Load roster data
2. Click Next Page button</t>
        </is>
      </c>
      <c r="G19" s="19" t="inlineStr">
        <is>
          <t>Next page of records loaded correctly</t>
        </is>
      </c>
      <c r="H19" s="19" t="inlineStr"/>
      <c r="I19" s="19" t="inlineStr">
        <is>
          <t>Not Tested</t>
        </is>
      </c>
      <c r="J19" s="19" t="inlineStr"/>
      <c r="K19" s="19" t="inlineStr"/>
      <c r="L19" s="19" t="inlineStr"/>
      <c r="M19" s="19" t="inlineStr"/>
    </row>
    <row r="20" ht="55" customHeight="1">
      <c r="A20" s="18" t="inlineStr">
        <is>
          <t>TC-D2-019</t>
        </is>
      </c>
      <c r="B20" s="18" t="inlineStr">
        <is>
          <t>Forecast Table</t>
        </is>
      </c>
      <c r="C20" s="18" t="inlineStr">
        <is>
          <t>Forecast data multi-tab per LOB</t>
        </is>
      </c>
      <c r="D20" s="18" t="inlineStr">
        <is>
          <t>High</t>
        </is>
      </c>
      <c r="E20" s="18" t="inlineStr">
        <is>
          <t>Forecast filters selected</t>
        </is>
      </c>
      <c r="F20" s="18" t="inlineStr">
        <is>
          <t>1. Select forecast filters
2. Load data</t>
        </is>
      </c>
      <c r="G20" s="18" t="inlineStr">
        <is>
          <t>Tabs created per main_lob+worktype combination; data in each tab</t>
        </is>
      </c>
      <c r="H20" s="18" t="inlineStr"/>
      <c r="I20" s="18" t="inlineStr">
        <is>
          <t>Not Tested</t>
        </is>
      </c>
      <c r="J20" s="18" t="inlineStr"/>
      <c r="K20" s="18" t="inlineStr"/>
      <c r="L20" s="18" t="inlineStr"/>
      <c r="M20" s="18" t="inlineStr"/>
    </row>
    <row r="21" ht="55" customHeight="1">
      <c r="A21" s="19" t="inlineStr">
        <is>
          <t>TC-D2-020</t>
        </is>
      </c>
      <c r="B21" s="19" t="inlineStr">
        <is>
          <t>Forecast Table</t>
        </is>
      </c>
      <c r="C21" s="19" t="inlineStr">
        <is>
          <t>Forecast table server-side pagination</t>
        </is>
      </c>
      <c r="D21" s="19" t="inlineStr">
        <is>
          <t>High</t>
        </is>
      </c>
      <c r="E21" s="19" t="inlineStr">
        <is>
          <t>Forecast data loaded</t>
        </is>
      </c>
      <c r="F21" s="19" t="inlineStr">
        <is>
          <t>1. Load large forecast dataset
2. Navigate between pages</t>
        </is>
      </c>
      <c r="G21" s="19" t="inlineStr">
        <is>
          <t>Server-side pagination works; no full page reload</t>
        </is>
      </c>
      <c r="H21" s="19" t="inlineStr"/>
      <c r="I21" s="19" t="inlineStr">
        <is>
          <t>Not Tested</t>
        </is>
      </c>
      <c r="J21" s="19" t="inlineStr"/>
      <c r="K21" s="19" t="inlineStr"/>
      <c r="L21" s="19" t="inlineStr"/>
      <c r="M21" s="19" t="inlineStr"/>
    </row>
    <row r="22" ht="55" customHeight="1">
      <c r="A22" s="18" t="inlineStr">
        <is>
          <t>TC-D2-021</t>
        </is>
      </c>
      <c r="B22" s="18" t="inlineStr">
        <is>
          <t>Forecast Table</t>
        </is>
      </c>
      <c r="C22" s="18" t="inlineStr">
        <is>
          <t>DataTable search and sort work</t>
        </is>
      </c>
      <c r="D22" s="18" t="inlineStr">
        <is>
          <t>Medium</t>
        </is>
      </c>
      <c r="E22" s="18" t="inlineStr">
        <is>
          <t>Data loaded</t>
        </is>
      </c>
      <c r="F22" s="18" t="inlineStr">
        <is>
          <t>1. Load data
2. Use search box
3. Click column headers to sort</t>
        </is>
      </c>
      <c r="G22" s="18" t="inlineStr">
        <is>
          <t>Search filters rows; sort reorders columns correctly</t>
        </is>
      </c>
      <c r="H22" s="18" t="inlineStr"/>
      <c r="I22" s="18" t="inlineStr">
        <is>
          <t>Not Tested</t>
        </is>
      </c>
      <c r="J22" s="18" t="inlineStr"/>
      <c r="K22" s="18" t="inlineStr"/>
      <c r="L22" s="18" t="inlineStr"/>
      <c r="M22" s="18" t="inlineStr"/>
    </row>
    <row r="23" ht="55" customHeight="1">
      <c r="A23" s="19" t="inlineStr">
        <is>
          <t>TC-D2-022</t>
        </is>
      </c>
      <c r="B23" s="19" t="inlineStr">
        <is>
          <t>Actuals Table</t>
        </is>
      </c>
      <c r="C23" s="19" t="inlineStr">
        <is>
          <t>Actuals data displays</t>
        </is>
      </c>
      <c r="D23" s="19" t="inlineStr">
        <is>
          <t>Medium</t>
        </is>
      </c>
      <c r="E23" s="19" t="inlineStr">
        <is>
          <t>Actuals data available</t>
        </is>
      </c>
      <c r="F23" s="19" t="inlineStr">
        <is>
          <t>1. Navigate to actuals view
2. Set filters (month, boc, locality, process)
3. Load data</t>
        </is>
      </c>
      <c r="G23" s="19" t="inlineStr">
        <is>
          <t>Actual performance data shown in table</t>
        </is>
      </c>
      <c r="H23" s="19" t="inlineStr"/>
      <c r="I23" s="19" t="inlineStr">
        <is>
          <t>Not Tested</t>
        </is>
      </c>
      <c r="J23" s="19" t="inlineStr"/>
      <c r="K23" s="19" t="inlineStr"/>
      <c r="L23" s="19" t="inlineStr"/>
      <c r="M23" s="19" t="inlineStr"/>
    </row>
    <row r="24" ht="55" customHeight="1">
      <c r="A24" s="18" t="inlineStr">
        <is>
          <t>TC-D2-023</t>
        </is>
      </c>
      <c r="B24" s="18" t="inlineStr">
        <is>
          <t>Forecast Table</t>
        </is>
      </c>
      <c r="C24" s="18" t="inlineStr">
        <is>
          <t>Inline editing via DataTables Editor</t>
        </is>
      </c>
      <c r="D24" s="18" t="inlineStr">
        <is>
          <t>High</t>
        </is>
      </c>
      <c r="E24" s="18" t="inlineStr">
        <is>
          <t>EDITOR logged in; forecast data loaded</t>
        </is>
      </c>
      <c r="F24" s="18" t="inlineStr">
        <is>
          <t>1. Click on editable cell in forecast table
2. Modify value
3. Save</t>
        </is>
      </c>
      <c r="G24" s="18" t="inlineStr">
        <is>
          <t>Value updated in backend; table refreshes with new value</t>
        </is>
      </c>
      <c r="H24" s="18" t="inlineStr"/>
      <c r="I24" s="18" t="inlineStr">
        <is>
          <t>Not Tested</t>
        </is>
      </c>
      <c r="J24" s="18" t="inlineStr"/>
      <c r="K24" s="18" t="inlineStr"/>
      <c r="L24" s="18" t="inlineStr"/>
      <c r="M24" s="18" t="inlineStr"/>
    </row>
    <row r="25" ht="55" customHeight="1">
      <c r="A25" s="19" t="inlineStr">
        <is>
          <t>TC-D2-024</t>
        </is>
      </c>
      <c r="B25" s="19" t="inlineStr">
        <is>
          <t>Data View</t>
        </is>
      </c>
      <c r="C25" s="19" t="inlineStr">
        <is>
          <t>Empty data set shows friendly message</t>
        </is>
      </c>
      <c r="D25" s="19" t="inlineStr">
        <is>
          <t>Medium</t>
        </is>
      </c>
      <c r="E25" s="19" t="inlineStr">
        <is>
          <t>Filters with no matching data</t>
        </is>
      </c>
      <c r="F25" s="19" t="inlineStr">
        <is>
          <t>1. Select filters producing no data
2. Load table</t>
        </is>
      </c>
      <c r="G25" s="19" t="inlineStr">
        <is>
          <t>'No records found' message displayed; no error</t>
        </is>
      </c>
      <c r="H25" s="19" t="inlineStr"/>
      <c r="I25" s="19" t="inlineStr">
        <is>
          <t>Not Tested</t>
        </is>
      </c>
      <c r="J25" s="19" t="inlineStr"/>
      <c r="K25" s="19" t="inlineStr"/>
      <c r="L25" s="19" t="inlineStr"/>
      <c r="M25" s="19" t="inlineStr"/>
    </row>
    <row r="26" ht="55" customHeight="1">
      <c r="A26" s="18" t="inlineStr">
        <is>
          <t>TC-D2-025</t>
        </is>
      </c>
      <c r="B26" s="18" t="inlineStr">
        <is>
          <t>Download</t>
        </is>
      </c>
      <c r="C26" s="18" t="inlineStr">
        <is>
          <t>Download roster data as CSV</t>
        </is>
      </c>
      <c r="D26" s="18" t="inlineStr">
        <is>
          <t>High</t>
        </is>
      </c>
      <c r="E26" s="18" t="inlineStr">
        <is>
          <t>Roster data loaded</t>
        </is>
      </c>
      <c r="F26" s="18" t="inlineStr">
        <is>
          <t>1. Load roster data
2. Click Download button
3. Select CSV format</t>
        </is>
      </c>
      <c r="G26" s="18" t="inlineStr">
        <is>
          <t>CSV file downloaded with correct data</t>
        </is>
      </c>
      <c r="H26" s="18" t="inlineStr"/>
      <c r="I26" s="18" t="inlineStr">
        <is>
          <t>Not Tested</t>
        </is>
      </c>
      <c r="J26" s="18" t="inlineStr"/>
      <c r="K26" s="18" t="inlineStr"/>
      <c r="L26" s="18" t="inlineStr"/>
      <c r="M26" s="18" t="inlineStr"/>
    </row>
    <row r="27" ht="55" customHeight="1">
      <c r="A27" s="19" t="inlineStr">
        <is>
          <t>TC-D2-026</t>
        </is>
      </c>
      <c r="B27" s="19" t="inlineStr">
        <is>
          <t>Download</t>
        </is>
      </c>
      <c r="C27" s="19" t="inlineStr">
        <is>
          <t>Download roster data as Excel</t>
        </is>
      </c>
      <c r="D27" s="19" t="inlineStr">
        <is>
          <t>Medium</t>
        </is>
      </c>
      <c r="E27" s="19" t="inlineStr">
        <is>
          <t>Roster data loaded</t>
        </is>
      </c>
      <c r="F27" s="19" t="inlineStr">
        <is>
          <t>1. Load roster data
2. Click Download
3. Select Excel format</t>
        </is>
      </c>
      <c r="G27" s="19" t="inlineStr">
        <is>
          <t>.xlsx file downloaded successfully</t>
        </is>
      </c>
      <c r="H27" s="19" t="inlineStr"/>
      <c r="I27" s="19" t="inlineStr">
        <is>
          <t>Not Tested</t>
        </is>
      </c>
      <c r="J27" s="19" t="inlineStr"/>
      <c r="K27" s="19" t="inlineStr"/>
      <c r="L27" s="19" t="inlineStr"/>
      <c r="M27" s="19" t="inlineStr"/>
    </row>
    <row r="28" ht="55" customHeight="1">
      <c r="A28" s="18" t="inlineStr">
        <is>
          <t>TC-D2-027</t>
        </is>
      </c>
      <c r="B28" s="18" t="inlineStr">
        <is>
          <t>Download</t>
        </is>
      </c>
      <c r="C28" s="18" t="inlineStr">
        <is>
          <t>Download forecast data</t>
        </is>
      </c>
      <c r="D28" s="18" t="inlineStr">
        <is>
          <t>High</t>
        </is>
      </c>
      <c r="E28" s="18" t="inlineStr">
        <is>
          <t>Forecast data loaded</t>
        </is>
      </c>
      <c r="F28" s="18" t="inlineStr">
        <is>
          <t>1. Load forecast data
2. Click Download</t>
        </is>
      </c>
      <c r="G28" s="18" t="inlineStr">
        <is>
          <t>Forecast file downloaded with correct data</t>
        </is>
      </c>
      <c r="H28" s="18" t="inlineStr"/>
      <c r="I28" s="18" t="inlineStr">
        <is>
          <t>Not Tested</t>
        </is>
      </c>
      <c r="J28" s="18" t="inlineStr"/>
      <c r="K28" s="18" t="inlineStr"/>
      <c r="L28" s="18" t="inlineStr"/>
      <c r="M28" s="18" t="inlineStr"/>
    </row>
    <row r="29" ht="55" customHeight="1">
      <c r="A29" s="19" t="inlineStr">
        <is>
          <t>TC-D2-028</t>
        </is>
      </c>
      <c r="B29" s="19" t="inlineStr">
        <is>
          <t>Download</t>
        </is>
      </c>
      <c r="C29" s="19" t="inlineStr">
        <is>
          <t>Downloaded file has correct MIME type</t>
        </is>
      </c>
      <c r="D29" s="19" t="inlineStr">
        <is>
          <t>Medium</t>
        </is>
      </c>
      <c r="E29" s="19" t="inlineStr">
        <is>
          <t>Download initiated</t>
        </is>
      </c>
      <c r="F29" s="19" t="inlineStr">
        <is>
          <t>1. Initiate download
2. Check response headers in browser</t>
        </is>
      </c>
      <c r="G29" s="19" t="inlineStr">
        <is>
          <t>Content-Type matches format (text/csv or application/vnd.openxmlformats)</t>
        </is>
      </c>
      <c r="H29" s="19" t="inlineStr"/>
      <c r="I29" s="19" t="inlineStr">
        <is>
          <t>Not Tested</t>
        </is>
      </c>
      <c r="J29" s="19" t="inlineStr"/>
      <c r="K29" s="19" t="inlineStr"/>
      <c r="L29" s="19" t="inlineStr"/>
      <c r="M29" s="19" t="inlineStr"/>
    </row>
    <row r="30" ht="55" customHeight="1">
      <c r="A30" s="18" t="inlineStr">
        <is>
          <t>TC-D2-029</t>
        </is>
      </c>
      <c r="B30" s="18" t="inlineStr">
        <is>
          <t>Download</t>
        </is>
      </c>
      <c r="C30" s="18" t="inlineStr">
        <is>
          <t>Download with no data shows error</t>
        </is>
      </c>
      <c r="D30" s="18" t="inlineStr">
        <is>
          <t>Medium</t>
        </is>
      </c>
      <c r="E30" s="18" t="inlineStr">
        <is>
          <t>No data loaded</t>
        </is>
      </c>
      <c r="F30" s="18" t="inlineStr">
        <is>
          <t>1. Try to download without loading data first</t>
        </is>
      </c>
      <c r="G30" s="18" t="inlineStr">
        <is>
          <t>Error message: no data available to download</t>
        </is>
      </c>
      <c r="H30" s="18" t="inlineStr"/>
      <c r="I30" s="18" t="inlineStr">
        <is>
          <t>Not Tested</t>
        </is>
      </c>
      <c r="J30" s="18" t="inlineStr"/>
      <c r="K30" s="18" t="inlineStr"/>
      <c r="L30" s="18" t="inlineStr"/>
      <c r="M30" s="18" t="inlineStr"/>
    </row>
    <row r="31" ht="55" customHeight="1">
      <c r="A31" s="19" t="inlineStr">
        <is>
          <t>TC-D2-030</t>
        </is>
      </c>
      <c r="B31" s="19" t="inlineStr">
        <is>
          <t>Download</t>
        </is>
      </c>
      <c r="C31" s="19" t="inlineStr">
        <is>
          <t>Downloaded filename follows naming convention</t>
        </is>
      </c>
      <c r="D31" s="19" t="inlineStr">
        <is>
          <t>Low</t>
        </is>
      </c>
      <c r="E31" s="19" t="inlineStr">
        <is>
          <t>Download initiated</t>
        </is>
      </c>
      <c r="F31" s="19" t="inlineStr">
        <is>
          <t>1. Download any data file
2. Check filename</t>
        </is>
      </c>
      <c r="G31" s="19" t="inlineStr">
        <is>
          <t>Filename includes data type and date (e.g., roster_2025-04.csv)</t>
        </is>
      </c>
      <c r="H31" s="19" t="inlineStr"/>
      <c r="I31" s="19" t="inlineStr">
        <is>
          <t>Not Tested</t>
        </is>
      </c>
      <c r="J31" s="19" t="inlineStr"/>
      <c r="K31" s="19" t="inlineStr"/>
      <c r="L31" s="19" t="inlineStr"/>
      <c r="M31" s="19" t="inlineStr"/>
    </row>
  </sheetData>
  <autoFilter ref="A1:M1"/>
  <dataValidations count="2">
    <dataValidation sqref="I2:I32" showDropDown="0" showInputMessage="0" showErrorMessage="1" allowBlank="1" errorTitle="Status Error" error="Invalid status" type="list">
      <formula1>"Pass,Fail,Blocked,Not Tested,In Progress"</formula1>
    </dataValidation>
    <dataValidation sqref="D2:D32" showDropDown="0" showInputMessage="0" showErrorMessage="1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0" customWidth="1" min="4" max="4"/>
    <col width="40" customWidth="1" min="5" max="5"/>
    <col width="60" customWidth="1" min="6" max="6"/>
    <col width="45" customWidth="1" min="7" max="7"/>
    <col width="45" customWidth="1" min="8" max="8"/>
    <col width="15" customWidth="1" min="9" max="9"/>
    <col width="12" customWidth="1" min="10" max="10"/>
    <col width="15" customWidth="1" min="11" max="11"/>
    <col width="15" customWidth="1" min="12" max="12"/>
    <col width="30" customWidth="1" min="13" max="13"/>
  </cols>
  <sheetData>
    <row r="1" ht="30" customHeight="1">
      <c r="A1" s="6" t="inlineStr">
        <is>
          <t>TC-ID</t>
        </is>
      </c>
      <c r="B1" s="6" t="inlineStr">
        <is>
          <t>Module</t>
        </is>
      </c>
      <c r="C1" s="6" t="inlineStr">
        <is>
          <t>Test Case Name</t>
        </is>
      </c>
      <c r="D1" s="6" t="inlineStr">
        <is>
          <t>Priority</t>
        </is>
      </c>
      <c r="E1" s="6" t="inlineStr">
        <is>
          <t>Pre-conditions</t>
        </is>
      </c>
      <c r="F1" s="6" t="inlineStr">
        <is>
          <t>Test Steps</t>
        </is>
      </c>
      <c r="G1" s="6" t="inlineStr">
        <is>
          <t>Expected Result</t>
        </is>
      </c>
      <c r="H1" s="6" t="inlineStr">
        <is>
          <t>Actual Result</t>
        </is>
      </c>
      <c r="I1" s="6" t="inlineStr">
        <is>
          <t>Status</t>
        </is>
      </c>
      <c r="J1" s="6" t="inlineStr">
        <is>
          <t>Bug-ID</t>
        </is>
      </c>
      <c r="K1" s="6" t="inlineStr">
        <is>
          <t>Tested By</t>
        </is>
      </c>
      <c r="L1" s="6" t="inlineStr">
        <is>
          <t>Tested On</t>
        </is>
      </c>
      <c r="M1" s="6" t="inlineStr">
        <is>
          <t>Notes</t>
        </is>
      </c>
    </row>
    <row r="2" ht="55" customHeight="1">
      <c r="A2" s="18" t="inlineStr">
        <is>
          <t>TC-D3-001</t>
        </is>
      </c>
      <c r="B2" s="18" t="inlineStr">
        <is>
          <t>Manager View</t>
        </is>
      </c>
      <c r="C2" s="18" t="inlineStr">
        <is>
          <t>Manager view page loads</t>
        </is>
      </c>
      <c r="D2" s="18" t="inlineStr">
        <is>
          <t>High</t>
        </is>
      </c>
      <c r="E2" s="18" t="inlineStr">
        <is>
          <t>EDITOR logged in</t>
        </is>
      </c>
      <c r="F2" s="18" t="inlineStr">
        <is>
          <t>1. Navigate to /forecast_app/manager-view/</t>
        </is>
      </c>
      <c r="G2" s="18" t="inlineStr">
        <is>
          <t>Page loads with category hierarchy and 6-month forecast data</t>
        </is>
      </c>
      <c r="H2" s="18" t="inlineStr"/>
      <c r="I2" s="18" t="inlineStr">
        <is>
          <t>Not Tested</t>
        </is>
      </c>
      <c r="J2" s="18" t="inlineStr"/>
      <c r="K2" s="18" t="inlineStr"/>
      <c r="L2" s="18" t="inlineStr"/>
      <c r="M2" s="18" t="inlineStr"/>
    </row>
    <row r="3" ht="55" customHeight="1">
      <c r="A3" s="19" t="inlineStr">
        <is>
          <t>TC-D3-002</t>
        </is>
      </c>
      <c r="B3" s="19" t="inlineStr">
        <is>
          <t>Manager View</t>
        </is>
      </c>
      <c r="C3" s="19" t="inlineStr">
        <is>
          <t>Report month selector works</t>
        </is>
      </c>
      <c r="D3" s="19" t="inlineStr">
        <is>
          <t>High</t>
        </is>
      </c>
      <c r="E3" s="19" t="inlineStr">
        <is>
          <t>Manager view open</t>
        </is>
      </c>
      <c r="F3" s="19" t="inlineStr">
        <is>
          <t>1. Open report month dropdown
2. Select a different month</t>
        </is>
      </c>
      <c r="G3" s="19" t="inlineStr">
        <is>
          <t>Data refreshes and displays for the selected month</t>
        </is>
      </c>
      <c r="H3" s="19" t="inlineStr"/>
      <c r="I3" s="19" t="inlineStr">
        <is>
          <t>Not Tested</t>
        </is>
      </c>
      <c r="J3" s="19" t="inlineStr"/>
      <c r="K3" s="19" t="inlineStr"/>
      <c r="L3" s="19" t="inlineStr"/>
      <c r="M3" s="19" t="inlineStr"/>
    </row>
    <row r="4" ht="55" customHeight="1">
      <c r="A4" s="18" t="inlineStr">
        <is>
          <t>TC-D3-003</t>
        </is>
      </c>
      <c r="B4" s="18" t="inlineStr">
        <is>
          <t>Manager View</t>
        </is>
      </c>
      <c r="C4" s="18" t="inlineStr">
        <is>
          <t>Category filter filters data</t>
        </is>
      </c>
      <c r="D4" s="18" t="inlineStr">
        <is>
          <t>High</t>
        </is>
      </c>
      <c r="E4" s="18" t="inlineStr">
        <is>
          <t>Manager view open</t>
        </is>
      </c>
      <c r="F4" s="18" t="inlineStr">
        <is>
          <t>1. Select specific category (e.g., amisys-onshore)</t>
        </is>
      </c>
      <c r="G4" s="18" t="inlineStr">
        <is>
          <t>Data filtered to show only selected category hierarchy</t>
        </is>
      </c>
      <c r="H4" s="18" t="inlineStr"/>
      <c r="I4" s="18" t="inlineStr">
        <is>
          <t>Not Tested</t>
        </is>
      </c>
      <c r="J4" s="18" t="inlineStr"/>
      <c r="K4" s="18" t="inlineStr"/>
      <c r="L4" s="18" t="inlineStr"/>
      <c r="M4" s="18" t="inlineStr"/>
    </row>
    <row r="5" ht="55" customHeight="1">
      <c r="A5" s="19" t="inlineStr">
        <is>
          <t>TC-D3-004</t>
        </is>
      </c>
      <c r="B5" s="19" t="inlineStr">
        <is>
          <t>Manager View</t>
        </is>
      </c>
      <c r="C5" s="19" t="inlineStr">
        <is>
          <t>6 months of data displayed</t>
        </is>
      </c>
      <c r="D5" s="19" t="inlineStr">
        <is>
          <t>Medium</t>
        </is>
      </c>
      <c r="E5" s="19" t="inlineStr">
        <is>
          <t>Manager view open</t>
        </is>
      </c>
      <c r="F5" s="19" t="inlineStr">
        <is>
          <t>1. Load manager view
2. Count forecast month columns</t>
        </is>
      </c>
      <c r="G5" s="19" t="inlineStr">
        <is>
          <t>Exactly 6 months displayed (MONTHS_TO_DISPLAY=6 config)</t>
        </is>
      </c>
      <c r="H5" s="19" t="inlineStr"/>
      <c r="I5" s="19" t="inlineStr">
        <is>
          <t>Not Tested</t>
        </is>
      </c>
      <c r="J5" s="19" t="inlineStr"/>
      <c r="K5" s="19" t="inlineStr"/>
      <c r="L5" s="19" t="inlineStr"/>
      <c r="M5" s="19" t="inlineStr"/>
    </row>
    <row r="6" ht="55" customHeight="1">
      <c r="A6" s="18" t="inlineStr">
        <is>
          <t>TC-D3-005</t>
        </is>
      </c>
      <c r="B6" s="18" t="inlineStr">
        <is>
          <t>Manager View</t>
        </is>
      </c>
      <c r="C6" s="18" t="inlineStr">
        <is>
          <t>KPI cards display correctly</t>
        </is>
      </c>
      <c r="D6" s="18" t="inlineStr">
        <is>
          <t>High</t>
        </is>
      </c>
      <c r="E6" s="18" t="inlineStr">
        <is>
          <t>Manager view loaded</t>
        </is>
      </c>
      <c r="F6" s="18" t="inlineStr">
        <is>
          <t>1. Load manager view
2. Check KPI summary cards at top</t>
        </is>
      </c>
      <c r="G6" s="18" t="inlineStr">
        <is>
          <t>Cards show capacity utilization, forecast accuracy, staffing levels</t>
        </is>
      </c>
      <c r="H6" s="18" t="inlineStr"/>
      <c r="I6" s="18" t="inlineStr">
        <is>
          <t>Not Tested</t>
        </is>
      </c>
      <c r="J6" s="18" t="inlineStr"/>
      <c r="K6" s="18" t="inlineStr"/>
      <c r="L6" s="18" t="inlineStr"/>
      <c r="M6" s="18" t="inlineStr"/>
    </row>
    <row r="7" ht="55" customHeight="1">
      <c r="A7" s="19" t="inlineStr">
        <is>
          <t>TC-D3-006</t>
        </is>
      </c>
      <c r="B7" s="19" t="inlineStr">
        <is>
          <t>Manager View</t>
        </is>
      </c>
      <c r="C7" s="19" t="inlineStr">
        <is>
          <t>Invalid report_month returns 400</t>
        </is>
      </c>
      <c r="D7" s="19" t="inlineStr">
        <is>
          <t>Medium</t>
        </is>
      </c>
      <c r="E7" s="19" t="inlineStr">
        <is>
          <t>Manager view API accessible</t>
        </is>
      </c>
      <c r="F7" s="19" t="inlineStr">
        <is>
          <t>1. Call /api/manager-view/data/ with report_month=invalid
2. Check response</t>
        </is>
      </c>
      <c r="G7" s="19" t="inlineStr">
        <is>
          <t>400 Bad Request response with error message</t>
        </is>
      </c>
      <c r="H7" s="19" t="inlineStr"/>
      <c r="I7" s="19" t="inlineStr">
        <is>
          <t>Not Tested</t>
        </is>
      </c>
      <c r="J7" s="19" t="inlineStr"/>
      <c r="K7" s="19" t="inlineStr"/>
      <c r="L7" s="19" t="inlineStr"/>
      <c r="M7" s="19" t="inlineStr"/>
    </row>
    <row r="8" ht="55" customHeight="1">
      <c r="A8" s="18" t="inlineStr">
        <is>
          <t>TC-D3-007</t>
        </is>
      </c>
      <c r="B8" s="18" t="inlineStr">
        <is>
          <t>Manager View</t>
        </is>
      </c>
      <c r="C8" s="18" t="inlineStr">
        <is>
          <t>Manager view data cached 900s</t>
        </is>
      </c>
      <c r="D8" s="18" t="inlineStr">
        <is>
          <t>Medium</t>
        </is>
      </c>
      <c r="E8" s="18" t="inlineStr">
        <is>
          <t>ADMIN logged in; manager view loaded</t>
        </is>
      </c>
      <c r="F8" s="18" t="inlineStr">
        <is>
          <t>1. Load manager view
2. Check /api/cache/stats/</t>
        </is>
      </c>
      <c r="G8" s="18" t="inlineStr">
        <is>
          <t>Manager view data in cache with ~900s TTL</t>
        </is>
      </c>
      <c r="H8" s="18" t="inlineStr"/>
      <c r="I8" s="18" t="inlineStr">
        <is>
          <t>Not Tested</t>
        </is>
      </c>
      <c r="J8" s="18" t="inlineStr"/>
      <c r="K8" s="18" t="inlineStr"/>
      <c r="L8" s="18" t="inlineStr"/>
      <c r="M8" s="18" t="inlineStr"/>
    </row>
    <row r="9" ht="55" customHeight="1">
      <c r="A9" s="19" t="inlineStr">
        <is>
          <t>TC-D3-008</t>
        </is>
      </c>
      <c r="B9" s="19" t="inlineStr">
        <is>
          <t>Manager View</t>
        </is>
      </c>
      <c r="C9" s="19" t="inlineStr">
        <is>
          <t>Missing report_month param returns error</t>
        </is>
      </c>
      <c r="D9" s="19" t="inlineStr">
        <is>
          <t>Medium</t>
        </is>
      </c>
      <c r="E9" s="19" t="inlineStr">
        <is>
          <t>Manager view API accessible</t>
        </is>
      </c>
      <c r="F9" s="19" t="inlineStr">
        <is>
          <t>1. Call /api/manager-view/data/ without report_month param</t>
        </is>
      </c>
      <c r="G9" s="19" t="inlineStr">
        <is>
          <t>Error response indicating report_month is required</t>
        </is>
      </c>
      <c r="H9" s="19" t="inlineStr"/>
      <c r="I9" s="19" t="inlineStr">
        <is>
          <t>Not Tested</t>
        </is>
      </c>
      <c r="J9" s="19" t="inlineStr"/>
      <c r="K9" s="19" t="inlineStr"/>
      <c r="L9" s="19" t="inlineStr"/>
      <c r="M9" s="19" t="inlineStr"/>
    </row>
    <row r="10" ht="55" customHeight="1">
      <c r="A10" s="18" t="inlineStr">
        <is>
          <t>TC-D3-009</t>
        </is>
      </c>
      <c r="B10" s="18" t="inlineStr">
        <is>
          <t>Execution Monitor</t>
        </is>
      </c>
      <c r="C10" s="18" t="inlineStr">
        <is>
          <t>Execution list page loads</t>
        </is>
      </c>
      <c r="D10" s="18" t="inlineStr">
        <is>
          <t>High</t>
        </is>
      </c>
      <c r="E10" s="18" t="inlineStr">
        <is>
          <t>ADMIN logged in</t>
        </is>
      </c>
      <c r="F10" s="18" t="inlineStr">
        <is>
          <t>1. Navigate to /forecast_app/execution-monitoring/</t>
        </is>
      </c>
      <c r="G10" s="18" t="inlineStr">
        <is>
          <t>List of file upload executions shown with filters</t>
        </is>
      </c>
      <c r="H10" s="18" t="inlineStr"/>
      <c r="I10" s="18" t="inlineStr">
        <is>
          <t>Not Tested</t>
        </is>
      </c>
      <c r="J10" s="18" t="inlineStr"/>
      <c r="K10" s="18" t="inlineStr"/>
      <c r="L10" s="18" t="inlineStr"/>
      <c r="M10" s="18" t="inlineStr"/>
    </row>
    <row r="11" ht="55" customHeight="1">
      <c r="A11" s="19" t="inlineStr">
        <is>
          <t>TC-D3-010</t>
        </is>
      </c>
      <c r="B11" s="19" t="inlineStr">
        <is>
          <t>Execution Monitor</t>
        </is>
      </c>
      <c r="C11" s="19" t="inlineStr">
        <is>
          <t>Filter executions by status</t>
        </is>
      </c>
      <c r="D11" s="19" t="inlineStr">
        <is>
          <t>High</t>
        </is>
      </c>
      <c r="E11" s="19" t="inlineStr">
        <is>
          <t>Execution list open</t>
        </is>
      </c>
      <c r="F11" s="19" t="inlineStr">
        <is>
          <t>1. Select status filter = SUCCESS
2. Apply filter</t>
        </is>
      </c>
      <c r="G11" s="19" t="inlineStr">
        <is>
          <t>Only SUCCESS status executions shown</t>
        </is>
      </c>
      <c r="H11" s="19" t="inlineStr"/>
      <c r="I11" s="19" t="inlineStr">
        <is>
          <t>Not Tested</t>
        </is>
      </c>
      <c r="J11" s="19" t="inlineStr"/>
      <c r="K11" s="19" t="inlineStr"/>
      <c r="L11" s="19" t="inlineStr"/>
      <c r="M11" s="19" t="inlineStr"/>
    </row>
    <row r="12" ht="55" customHeight="1">
      <c r="A12" s="18" t="inlineStr">
        <is>
          <t>TC-D3-011</t>
        </is>
      </c>
      <c r="B12" s="18" t="inlineStr">
        <is>
          <t>Execution Monitor</t>
        </is>
      </c>
      <c r="C12" s="18" t="inlineStr">
        <is>
          <t>Filter executions by month/year</t>
        </is>
      </c>
      <c r="D12" s="18" t="inlineStr">
        <is>
          <t>Medium</t>
        </is>
      </c>
      <c r="E12" s="18" t="inlineStr">
        <is>
          <t>Execution list open</t>
        </is>
      </c>
      <c r="F12" s="18" t="inlineStr">
        <is>
          <t>1. Select month and year filters
2. Apply</t>
        </is>
      </c>
      <c r="G12" s="18" t="inlineStr">
        <is>
          <t>Executions for the selected period shown</t>
        </is>
      </c>
      <c r="H12" s="18" t="inlineStr"/>
      <c r="I12" s="18" t="inlineStr">
        <is>
          <t>Not Tested</t>
        </is>
      </c>
      <c r="J12" s="18" t="inlineStr"/>
      <c r="K12" s="18" t="inlineStr"/>
      <c r="L12" s="18" t="inlineStr"/>
      <c r="M12" s="18" t="inlineStr"/>
    </row>
    <row r="13" ht="55" customHeight="1">
      <c r="A13" s="19" t="inlineStr">
        <is>
          <t>TC-D3-012</t>
        </is>
      </c>
      <c r="B13" s="19" t="inlineStr">
        <is>
          <t>Execution Monitor</t>
        </is>
      </c>
      <c r="C13" s="19" t="inlineStr">
        <is>
          <t>Filter by uploaded_by user</t>
        </is>
      </c>
      <c r="D13" s="19" t="inlineStr">
        <is>
          <t>Medium</t>
        </is>
      </c>
      <c r="E13" s="19" t="inlineStr">
        <is>
          <t>Execution list open</t>
        </is>
      </c>
      <c r="F13" s="19" t="inlineStr">
        <is>
          <t>1. Enter username in uploaded_by filter
2. Apply</t>
        </is>
      </c>
      <c r="G13" s="19" t="inlineStr">
        <is>
          <t>Executions uploaded by that user shown</t>
        </is>
      </c>
      <c r="H13" s="19" t="inlineStr"/>
      <c r="I13" s="19" t="inlineStr">
        <is>
          <t>Not Tested</t>
        </is>
      </c>
      <c r="J13" s="19" t="inlineStr"/>
      <c r="K13" s="19" t="inlineStr"/>
      <c r="L13" s="19" t="inlineStr"/>
      <c r="M13" s="19" t="inlineStr"/>
    </row>
    <row r="14" ht="55" customHeight="1">
      <c r="A14" s="18" t="inlineStr">
        <is>
          <t>TC-D3-013</t>
        </is>
      </c>
      <c r="B14" s="18" t="inlineStr">
        <is>
          <t>Execution Monitor</t>
        </is>
      </c>
      <c r="C14" s="18" t="inlineStr">
        <is>
          <t>Execution list pagination works</t>
        </is>
      </c>
      <c r="D14" s="18" t="inlineStr">
        <is>
          <t>Medium</t>
        </is>
      </c>
      <c r="E14" s="18" t="inlineStr">
        <is>
          <t>Many executions exist</t>
        </is>
      </c>
      <c r="F14" s="18" t="inlineStr">
        <is>
          <t>1. Load execution list
2. Click Next Page</t>
        </is>
      </c>
      <c r="G14" s="18" t="inlineStr">
        <is>
          <t>Next page of records loaded correctly</t>
        </is>
      </c>
      <c r="H14" s="18" t="inlineStr"/>
      <c r="I14" s="18" t="inlineStr">
        <is>
          <t>Not Tested</t>
        </is>
      </c>
      <c r="J14" s="18" t="inlineStr"/>
      <c r="K14" s="18" t="inlineStr"/>
      <c r="L14" s="18" t="inlineStr"/>
      <c r="M14" s="18" t="inlineStr"/>
    </row>
    <row r="15" ht="55" customHeight="1">
      <c r="A15" s="19" t="inlineStr">
        <is>
          <t>TC-D3-014</t>
        </is>
      </c>
      <c r="B15" s="19" t="inlineStr">
        <is>
          <t>Execution Monitor</t>
        </is>
      </c>
      <c r="C15" s="19" t="inlineStr">
        <is>
          <t>Execution details show for completed</t>
        </is>
      </c>
      <c r="D15" s="19" t="inlineStr">
        <is>
          <t>High</t>
        </is>
      </c>
      <c r="E15" s="19" t="inlineStr">
        <is>
          <t>Completed execution exists</t>
        </is>
      </c>
      <c r="F15" s="19" t="inlineStr">
        <is>
          <t>1. Click on a completed execution
2. View details panel</t>
        </is>
      </c>
      <c r="G15" s="19" t="inlineStr">
        <is>
          <t>Detailed logs, timing info, and status shown</t>
        </is>
      </c>
      <c r="H15" s="19" t="inlineStr"/>
      <c r="I15" s="19" t="inlineStr">
        <is>
          <t>Not Tested</t>
        </is>
      </c>
      <c r="J15" s="19" t="inlineStr"/>
      <c r="K15" s="19" t="inlineStr"/>
      <c r="L15" s="19" t="inlineStr"/>
      <c r="M15" s="19" t="inlineStr"/>
    </row>
    <row r="16" ht="55" customHeight="1">
      <c r="A16" s="18" t="inlineStr">
        <is>
          <t>TC-D3-015</t>
        </is>
      </c>
      <c r="B16" s="18" t="inlineStr">
        <is>
          <t>Execution Monitor</t>
        </is>
      </c>
      <c r="C16" s="18" t="inlineStr">
        <is>
          <t>In-progress execution refreshes every 5s</t>
        </is>
      </c>
      <c r="D16" s="18" t="inlineStr">
        <is>
          <t>High</t>
        </is>
      </c>
      <c r="E16" s="18" t="inlineStr">
        <is>
          <t>In-progress upload exists</t>
        </is>
      </c>
      <c r="F16" s="18" t="inlineStr">
        <is>
          <t>1. Initiate file upload
2. Open execution details</t>
        </is>
      </c>
      <c r="G16" s="18" t="inlineStr">
        <is>
          <t>Details auto-refresh approximately every 5s (5s cache TTL)</t>
        </is>
      </c>
      <c r="H16" s="18" t="inlineStr"/>
      <c r="I16" s="18" t="inlineStr">
        <is>
          <t>Not Tested</t>
        </is>
      </c>
      <c r="J16" s="18" t="inlineStr"/>
      <c r="K16" s="18" t="inlineStr"/>
      <c r="L16" s="18" t="inlineStr"/>
      <c r="M16" s="18" t="inlineStr"/>
    </row>
    <row r="17" ht="55" customHeight="1">
      <c r="A17" s="19" t="inlineStr">
        <is>
          <t>TC-D3-016</t>
        </is>
      </c>
      <c r="B17" s="19" t="inlineStr">
        <is>
          <t>Execution Monitor</t>
        </is>
      </c>
      <c r="C17" s="19" t="inlineStr">
        <is>
          <t>Download execution summary report</t>
        </is>
      </c>
      <c r="D17" s="19" t="inlineStr">
        <is>
          <t>High</t>
        </is>
      </c>
      <c r="E17" s="19" t="inlineStr">
        <is>
          <t>Completed execution exists</t>
        </is>
      </c>
      <c r="F17" s="19" t="inlineStr">
        <is>
          <t>1. Click download on a completed execution
2. Select 'summary' report type</t>
        </is>
      </c>
      <c r="G17" s="19" t="inlineStr">
        <is>
          <t>Summary report file downloaded successfully</t>
        </is>
      </c>
      <c r="H17" s="19" t="inlineStr"/>
      <c r="I17" s="19" t="inlineStr">
        <is>
          <t>Not Tested</t>
        </is>
      </c>
      <c r="J17" s="19" t="inlineStr"/>
      <c r="K17" s="19" t="inlineStr"/>
      <c r="L17" s="19" t="inlineStr"/>
      <c r="M17" s="19" t="inlineStr"/>
    </row>
    <row r="18" ht="55" customHeight="1">
      <c r="A18" s="18" t="inlineStr">
        <is>
          <t>TC-D3-017</t>
        </is>
      </c>
      <c r="B18" s="18" t="inlineStr">
        <is>
          <t>Execution Monitor</t>
        </is>
      </c>
      <c r="C18" s="18" t="inlineStr">
        <is>
          <t>KPIs show success rate and counts</t>
        </is>
      </c>
      <c r="D18" s="18" t="inlineStr">
        <is>
          <t>Medium</t>
        </is>
      </c>
      <c r="E18" s="18" t="inlineStr">
        <is>
          <t>Executions exist</t>
        </is>
      </c>
      <c r="F18" s="18" t="inlineStr">
        <is>
          <t>1. Load execution monitoring page
2. Check KPI section</t>
        </is>
      </c>
      <c r="G18" s="18" t="inlineStr">
        <is>
          <t>Success rate %, failed count, pending count all shown</t>
        </is>
      </c>
      <c r="H18" s="18" t="inlineStr"/>
      <c r="I18" s="18" t="inlineStr">
        <is>
          <t>Not Tested</t>
        </is>
      </c>
      <c r="J18" s="18" t="inlineStr"/>
      <c r="K18" s="18" t="inlineStr"/>
      <c r="L18" s="18" t="inlineStr"/>
      <c r="M18" s="18" t="inlineStr"/>
    </row>
    <row r="19" ht="55" customHeight="1">
      <c r="A19" s="19" t="inlineStr">
        <is>
          <t>TC-D3-018</t>
        </is>
      </c>
      <c r="B19" s="19" t="inlineStr">
        <is>
          <t>Month Config</t>
        </is>
      </c>
      <c r="C19" s="19" t="inlineStr">
        <is>
          <t>Month config list loads</t>
        </is>
      </c>
      <c r="D19" s="19" t="inlineStr">
        <is>
          <t>High</t>
        </is>
      </c>
      <c r="E19" s="19" t="inlineStr">
        <is>
          <t>ADMIN logged in</t>
        </is>
      </c>
      <c r="F19" s="19" t="inlineStr">
        <is>
          <t>1. Navigate to /forecast_app/configuration/
2. Select Month Configuration tab</t>
        </is>
      </c>
      <c r="G19" s="19" t="inlineStr">
        <is>
          <t>Existing month configurations listed</t>
        </is>
      </c>
      <c r="H19" s="19" t="inlineStr"/>
      <c r="I19" s="19" t="inlineStr">
        <is>
          <t>Not Tested</t>
        </is>
      </c>
      <c r="J19" s="19" t="inlineStr"/>
      <c r="K19" s="19" t="inlineStr"/>
      <c r="L19" s="19" t="inlineStr"/>
      <c r="M19" s="19" t="inlineStr"/>
    </row>
    <row r="20" ht="55" customHeight="1">
      <c r="A20" s="18" t="inlineStr">
        <is>
          <t>TC-D3-019</t>
        </is>
      </c>
      <c r="B20" s="18" t="inlineStr">
        <is>
          <t>Month Config</t>
        </is>
      </c>
      <c r="C20" s="18" t="inlineStr">
        <is>
          <t>Filter config list by month</t>
        </is>
      </c>
      <c r="D20" s="18" t="inlineStr">
        <is>
          <t>Medium</t>
        </is>
      </c>
      <c r="E20" s="18" t="inlineStr">
        <is>
          <t>Configuration list open</t>
        </is>
      </c>
      <c r="F20" s="18" t="inlineStr">
        <is>
          <t>1. Apply month name filter
2. Check results</t>
        </is>
      </c>
      <c r="G20" s="18" t="inlineStr">
        <is>
          <t>Only configs for that month shown</t>
        </is>
      </c>
      <c r="H20" s="18" t="inlineStr"/>
      <c r="I20" s="18" t="inlineStr">
        <is>
          <t>Not Tested</t>
        </is>
      </c>
      <c r="J20" s="18" t="inlineStr"/>
      <c r="K20" s="18" t="inlineStr"/>
      <c r="L20" s="18" t="inlineStr"/>
      <c r="M20" s="18" t="inlineStr"/>
    </row>
    <row r="21" ht="55" customHeight="1">
      <c r="A21" s="19" t="inlineStr">
        <is>
          <t>TC-D3-020</t>
        </is>
      </c>
      <c r="B21" s="19" t="inlineStr">
        <is>
          <t>Month Config</t>
        </is>
      </c>
      <c r="C21" s="19" t="inlineStr">
        <is>
          <t>Create new month configuration</t>
        </is>
      </c>
      <c r="D21" s="19" t="inlineStr">
        <is>
          <t>High</t>
        </is>
      </c>
      <c r="E21" s="19" t="inlineStr">
        <is>
          <t>ADMIN logged in</t>
        </is>
      </c>
      <c r="F21" s="19" t="inlineStr">
        <is>
          <t>1. Click Create
2. Fill month, year, work_type fields
3. Submit</t>
        </is>
      </c>
      <c r="G21" s="19" t="inlineStr">
        <is>
          <t>New config created; appears in list</t>
        </is>
      </c>
      <c r="H21" s="19" t="inlineStr"/>
      <c r="I21" s="19" t="inlineStr">
        <is>
          <t>Not Tested</t>
        </is>
      </c>
      <c r="J21" s="19" t="inlineStr"/>
      <c r="K21" s="19" t="inlineStr"/>
      <c r="L21" s="19" t="inlineStr"/>
      <c r="M21" s="19" t="inlineStr"/>
    </row>
    <row r="22" ht="55" customHeight="1">
      <c r="A22" s="18" t="inlineStr">
        <is>
          <t>TC-D3-021</t>
        </is>
      </c>
      <c r="B22" s="18" t="inlineStr">
        <is>
          <t>Month Config</t>
        </is>
      </c>
      <c r="C22" s="18" t="inlineStr">
        <is>
          <t>Update existing month config</t>
        </is>
      </c>
      <c r="D22" s="18" t="inlineStr">
        <is>
          <t>High</t>
        </is>
      </c>
      <c r="E22" s="18" t="inlineStr">
        <is>
          <t>Config record exists</t>
        </is>
      </c>
      <c r="F22" s="18" t="inlineStr">
        <is>
          <t>1. Click Edit on a config
2. Modify fields
3. Save</t>
        </is>
      </c>
      <c r="G22" s="18" t="inlineStr">
        <is>
          <t>Config updated successfully</t>
        </is>
      </c>
      <c r="H22" s="18" t="inlineStr"/>
      <c r="I22" s="18" t="inlineStr">
        <is>
          <t>Not Tested</t>
        </is>
      </c>
      <c r="J22" s="18" t="inlineStr"/>
      <c r="K22" s="18" t="inlineStr"/>
      <c r="L22" s="18" t="inlineStr"/>
      <c r="M22" s="18" t="inlineStr"/>
    </row>
    <row r="23" ht="55" customHeight="1">
      <c r="A23" s="19" t="inlineStr">
        <is>
          <t>TC-D3-022</t>
        </is>
      </c>
      <c r="B23" s="19" t="inlineStr">
        <is>
          <t>Month Config</t>
        </is>
      </c>
      <c r="C23" s="19" t="inlineStr">
        <is>
          <t>Delete month config (admin only)</t>
        </is>
      </c>
      <c r="D23" s="19" t="inlineStr">
        <is>
          <t>High</t>
        </is>
      </c>
      <c r="E23" s="19" t="inlineStr">
        <is>
          <t>ADMIN logged in; config exists</t>
        </is>
      </c>
      <c r="F23" s="19" t="inlineStr">
        <is>
          <t>1. Click Delete on a config
2. Confirm deletion</t>
        </is>
      </c>
      <c r="G23" s="19" t="inlineStr">
        <is>
          <t>Config deleted; removed from list</t>
        </is>
      </c>
      <c r="H23" s="19" t="inlineStr"/>
      <c r="I23" s="19" t="inlineStr">
        <is>
          <t>Not Tested</t>
        </is>
      </c>
      <c r="J23" s="19" t="inlineStr"/>
      <c r="K23" s="19" t="inlineStr"/>
      <c r="L23" s="19" t="inlineStr"/>
      <c r="M23" s="19" t="inlineStr"/>
    </row>
    <row r="24" ht="55" customHeight="1">
      <c r="A24" s="18" t="inlineStr">
        <is>
          <t>TC-D3-023</t>
        </is>
      </c>
      <c r="B24" s="18" t="inlineStr">
        <is>
          <t>Month Config</t>
        </is>
      </c>
      <c r="C24" s="18" t="inlineStr">
        <is>
          <t>Bulk create month configs</t>
        </is>
      </c>
      <c r="D24" s="18" t="inlineStr">
        <is>
          <t>Medium</t>
        </is>
      </c>
      <c r="E24" s="18" t="inlineStr">
        <is>
          <t>ADMIN logged in</t>
        </is>
      </c>
      <c r="F24" s="18" t="inlineStr">
        <is>
          <t>1. Prepare array of config objects
2. POST to bulk create endpoint</t>
        </is>
      </c>
      <c r="G24" s="18" t="inlineStr">
        <is>
          <t>All configs created in batch; count confirmed</t>
        </is>
      </c>
      <c r="H24" s="18" t="inlineStr"/>
      <c r="I24" s="18" t="inlineStr">
        <is>
          <t>Not Tested</t>
        </is>
      </c>
      <c r="J24" s="18" t="inlineStr"/>
      <c r="K24" s="18" t="inlineStr"/>
      <c r="L24" s="18" t="inlineStr"/>
      <c r="M24" s="18" t="inlineStr"/>
    </row>
    <row r="25" ht="55" customHeight="1">
      <c r="A25" s="19" t="inlineStr">
        <is>
          <t>TC-D3-024</t>
        </is>
      </c>
      <c r="B25" s="19" t="inlineStr">
        <is>
          <t>Month Config</t>
        </is>
      </c>
      <c r="C25" s="19" t="inlineStr">
        <is>
          <t>Validate endpoint catches errors pre-save</t>
        </is>
      </c>
      <c r="D25" s="19" t="inlineStr">
        <is>
          <t>Medium</t>
        </is>
      </c>
      <c r="E25" s="19" t="inlineStr">
        <is>
          <t>Config form open</t>
        </is>
      </c>
      <c r="F25" s="19" t="inlineStr">
        <is>
          <t>1. Call validate endpoint with invalid data</t>
        </is>
      </c>
      <c r="G25" s="19" t="inlineStr">
        <is>
          <t>Validation errors returned before save attempted</t>
        </is>
      </c>
      <c r="H25" s="19" t="inlineStr"/>
      <c r="I25" s="19" t="inlineStr">
        <is>
          <t>Not Tested</t>
        </is>
      </c>
      <c r="J25" s="19" t="inlineStr"/>
      <c r="K25" s="19" t="inlineStr"/>
      <c r="L25" s="19" t="inlineStr"/>
      <c r="M25" s="19" t="inlineStr"/>
    </row>
    <row r="26" ht="55" customHeight="1">
      <c r="A26" s="18" t="inlineStr">
        <is>
          <t>TC-D3-025</t>
        </is>
      </c>
      <c r="B26" s="18" t="inlineStr">
        <is>
          <t>Month Config</t>
        </is>
      </c>
      <c r="C26" s="18" t="inlineStr">
        <is>
          <t>Duplicate config prevention</t>
        </is>
      </c>
      <c r="D26" s="18" t="inlineStr">
        <is>
          <t>Medium</t>
        </is>
      </c>
      <c r="E26" s="18" t="inlineStr">
        <is>
          <t>Config exists</t>
        </is>
      </c>
      <c r="F26" s="18" t="inlineStr">
        <is>
          <t>1. Try to create duplicate month+year+work_type config</t>
        </is>
      </c>
      <c r="G26" s="18" t="inlineStr">
        <is>
          <t>Error: duplicate configuration not allowed</t>
        </is>
      </c>
      <c r="H26" s="18" t="inlineStr"/>
      <c r="I26" s="18" t="inlineStr">
        <is>
          <t>Not Tested</t>
        </is>
      </c>
      <c r="J26" s="18" t="inlineStr"/>
      <c r="K26" s="18" t="inlineStr"/>
      <c r="L26" s="18" t="inlineStr"/>
      <c r="M26" s="18" t="inlineStr"/>
    </row>
    <row r="27" ht="55" customHeight="1">
      <c r="A27" s="19" t="inlineStr">
        <is>
          <t>TC-D3-026</t>
        </is>
      </c>
      <c r="B27" s="19" t="inlineStr">
        <is>
          <t>Month Config</t>
        </is>
      </c>
      <c r="C27" s="19" t="inlineStr">
        <is>
          <t>Required field validation on create</t>
        </is>
      </c>
      <c r="D27" s="19" t="inlineStr">
        <is>
          <t>Medium</t>
        </is>
      </c>
      <c r="E27" s="19" t="inlineStr">
        <is>
          <t>Create config form</t>
        </is>
      </c>
      <c r="F27" s="19" t="inlineStr">
        <is>
          <t>1. Submit create form with missing required fields</t>
        </is>
      </c>
      <c r="G27" s="19" t="inlineStr">
        <is>
          <t>Validation error listing each missing field</t>
        </is>
      </c>
      <c r="H27" s="19" t="inlineStr"/>
      <c r="I27" s="19" t="inlineStr">
        <is>
          <t>Not Tested</t>
        </is>
      </c>
      <c r="J27" s="19" t="inlineStr"/>
      <c r="K27" s="19" t="inlineStr"/>
      <c r="L27" s="19" t="inlineStr"/>
      <c r="M27" s="19" t="inlineStr"/>
    </row>
    <row r="28" ht="55" customHeight="1">
      <c r="A28" s="18" t="inlineStr">
        <is>
          <t>TC-D3-027</t>
        </is>
      </c>
      <c r="B28" s="18" t="inlineStr">
        <is>
          <t>CPH Config</t>
        </is>
      </c>
      <c r="C28" s="18" t="inlineStr">
        <is>
          <t>Target CPH config list loads</t>
        </is>
      </c>
      <c r="D28" s="18" t="inlineStr">
        <is>
          <t>High</t>
        </is>
      </c>
      <c r="E28" s="18" t="inlineStr">
        <is>
          <t>Configuration page open</t>
        </is>
      </c>
      <c r="F28" s="18" t="inlineStr">
        <is>
          <t>1. Navigate to configuration
2. Select Target CPH tab</t>
        </is>
      </c>
      <c r="G28" s="18" t="inlineStr">
        <is>
          <t>All CPH configurations listed in table</t>
        </is>
      </c>
      <c r="H28" s="18" t="inlineStr"/>
      <c r="I28" s="18" t="inlineStr">
        <is>
          <t>Not Tested</t>
        </is>
      </c>
      <c r="J28" s="18" t="inlineStr"/>
      <c r="K28" s="18" t="inlineStr"/>
      <c r="L28" s="18" t="inlineStr"/>
      <c r="M28" s="18" t="inlineStr"/>
    </row>
    <row r="29" ht="55" customHeight="1">
      <c r="A29" s="19" t="inlineStr">
        <is>
          <t>TC-D3-028</t>
        </is>
      </c>
      <c r="B29" s="19" t="inlineStr">
        <is>
          <t>CPH Config</t>
        </is>
      </c>
      <c r="C29" s="19" t="inlineStr">
        <is>
          <t>Create new CPH configuration</t>
        </is>
      </c>
      <c r="D29" s="19" t="inlineStr">
        <is>
          <t>High</t>
        </is>
      </c>
      <c r="E29" s="19" t="inlineStr">
        <is>
          <t>ADMIN logged in</t>
        </is>
      </c>
      <c r="F29" s="19" t="inlineStr">
        <is>
          <t>1. Click Create
2. Fill main_lob, case_type, target_value
3. Submit</t>
        </is>
      </c>
      <c r="G29" s="19" t="inlineStr">
        <is>
          <t>New CPH config created; appears in list</t>
        </is>
      </c>
      <c r="H29" s="19" t="inlineStr"/>
      <c r="I29" s="19" t="inlineStr">
        <is>
          <t>Not Tested</t>
        </is>
      </c>
      <c r="J29" s="19" t="inlineStr"/>
      <c r="K29" s="19" t="inlineStr"/>
      <c r="L29" s="19" t="inlineStr"/>
      <c r="M29" s="19" t="inlineStr"/>
    </row>
    <row r="30" ht="55" customHeight="1">
      <c r="A30" s="18" t="inlineStr">
        <is>
          <t>TC-D3-029</t>
        </is>
      </c>
      <c r="B30" s="18" t="inlineStr">
        <is>
          <t>CPH Config</t>
        </is>
      </c>
      <c r="C30" s="18" t="inlineStr">
        <is>
          <t>Update CPH target value</t>
        </is>
      </c>
      <c r="D30" s="18" t="inlineStr">
        <is>
          <t>High</t>
        </is>
      </c>
      <c r="E30" s="18" t="inlineStr">
        <is>
          <t>CPH config exists</t>
        </is>
      </c>
      <c r="F30" s="18" t="inlineStr">
        <is>
          <t>1. Click Edit on CPH config
2. Change target_value
3. Save</t>
        </is>
      </c>
      <c r="G30" s="18" t="inlineStr">
        <is>
          <t>CPH value updated successfully</t>
        </is>
      </c>
      <c r="H30" s="18" t="inlineStr"/>
      <c r="I30" s="18" t="inlineStr">
        <is>
          <t>Not Tested</t>
        </is>
      </c>
      <c r="J30" s="18" t="inlineStr"/>
      <c r="K30" s="18" t="inlineStr"/>
      <c r="L30" s="18" t="inlineStr"/>
      <c r="M30" s="18" t="inlineStr"/>
    </row>
    <row r="31" ht="55" customHeight="1">
      <c r="A31" s="19" t="inlineStr">
        <is>
          <t>TC-D3-030</t>
        </is>
      </c>
      <c r="B31" s="19" t="inlineStr">
        <is>
          <t>CPH Config</t>
        </is>
      </c>
      <c r="C31" s="19" t="inlineStr">
        <is>
          <t>Delete CPH configuration</t>
        </is>
      </c>
      <c r="D31" s="19" t="inlineStr">
        <is>
          <t>High</t>
        </is>
      </c>
      <c r="E31" s="19" t="inlineStr">
        <is>
          <t>ADMIN logged in</t>
        </is>
      </c>
      <c r="F31" s="19" t="inlineStr">
        <is>
          <t>1. Click Delete on CPH config
2. Confirm</t>
        </is>
      </c>
      <c r="G31" s="19" t="inlineStr">
        <is>
          <t>Config deleted from list</t>
        </is>
      </c>
      <c r="H31" s="19" t="inlineStr"/>
      <c r="I31" s="19" t="inlineStr">
        <is>
          <t>Not Tested</t>
        </is>
      </c>
      <c r="J31" s="19" t="inlineStr"/>
      <c r="K31" s="19" t="inlineStr"/>
      <c r="L31" s="19" t="inlineStr"/>
      <c r="M31" s="19" t="inlineStr"/>
    </row>
    <row r="32" ht="55" customHeight="1">
      <c r="A32" s="18" t="inlineStr">
        <is>
          <t>TC-D3-031</t>
        </is>
      </c>
      <c r="B32" s="18" t="inlineStr">
        <is>
          <t>CPH Config</t>
        </is>
      </c>
      <c r="C32" s="18" t="inlineStr">
        <is>
          <t>Bulk create CPH configs</t>
        </is>
      </c>
      <c r="D32" s="18" t="inlineStr">
        <is>
          <t>Medium</t>
        </is>
      </c>
      <c r="E32" s="18" t="inlineStr">
        <is>
          <t>ADMIN logged in</t>
        </is>
      </c>
      <c r="F32" s="18" t="inlineStr">
        <is>
          <t>1. POST array of CPH objects to bulk endpoint</t>
        </is>
      </c>
      <c r="G32" s="18" t="inlineStr">
        <is>
          <t>All CPH configs created in batch</t>
        </is>
      </c>
      <c r="H32" s="18" t="inlineStr"/>
      <c r="I32" s="18" t="inlineStr">
        <is>
          <t>Not Tested</t>
        </is>
      </c>
      <c r="J32" s="18" t="inlineStr"/>
      <c r="K32" s="18" t="inlineStr"/>
      <c r="L32" s="18" t="inlineStr"/>
      <c r="M32" s="18" t="inlineStr"/>
    </row>
    <row r="33" ht="55" customHeight="1">
      <c r="A33" s="19" t="inlineStr">
        <is>
          <t>TC-D3-032</t>
        </is>
      </c>
      <c r="B33" s="19" t="inlineStr">
        <is>
          <t>CPH Config</t>
        </is>
      </c>
      <c r="C33" s="19" t="inlineStr">
        <is>
          <t>Distinct main LOBs endpoint</t>
        </is>
      </c>
      <c r="D33" s="19" t="inlineStr">
        <is>
          <t>Medium</t>
        </is>
      </c>
      <c r="E33" s="19" t="inlineStr">
        <is>
          <t>CPH configs exist</t>
        </is>
      </c>
      <c r="F33" s="19" t="inlineStr">
        <is>
          <t>1. Call /api/configuration/target-cph/distinct/main-lobs/</t>
        </is>
      </c>
      <c r="G33" s="19" t="inlineStr">
        <is>
          <t>Unique main LOB list returned correctly</t>
        </is>
      </c>
      <c r="H33" s="19" t="inlineStr"/>
      <c r="I33" s="19" t="inlineStr">
        <is>
          <t>Not Tested</t>
        </is>
      </c>
      <c r="J33" s="19" t="inlineStr"/>
      <c r="K33" s="19" t="inlineStr"/>
      <c r="L33" s="19" t="inlineStr"/>
      <c r="M33" s="19" t="inlineStr"/>
    </row>
    <row r="34" ht="55" customHeight="1">
      <c r="A34" s="18" t="inlineStr">
        <is>
          <t>TC-D3-033</t>
        </is>
      </c>
      <c r="B34" s="18" t="inlineStr">
        <is>
          <t>CPH Config</t>
        </is>
      </c>
      <c r="C34" s="18" t="inlineStr">
        <is>
          <t>Distinct case types endpoint</t>
        </is>
      </c>
      <c r="D34" s="18" t="inlineStr">
        <is>
          <t>Medium</t>
        </is>
      </c>
      <c r="E34" s="18" t="inlineStr">
        <is>
          <t>CPH configs exist</t>
        </is>
      </c>
      <c r="F34" s="18" t="inlineStr">
        <is>
          <t>1. Call /api/configuration/target-cph/distinct/case-types/</t>
        </is>
      </c>
      <c r="G34" s="18" t="inlineStr">
        <is>
          <t>Unique case type list returned correctly</t>
        </is>
      </c>
      <c r="H34" s="18" t="inlineStr"/>
      <c r="I34" s="18" t="inlineStr">
        <is>
          <t>Not Tested</t>
        </is>
      </c>
      <c r="J34" s="18" t="inlineStr"/>
      <c r="K34" s="18" t="inlineStr"/>
      <c r="L34" s="18" t="inlineStr"/>
      <c r="M34" s="18" t="inlineStr"/>
    </row>
    <row r="35" ht="55" customHeight="1">
      <c r="A35" s="19" t="inlineStr">
        <is>
          <t>TC-D3-034</t>
        </is>
      </c>
      <c r="B35" s="19" t="inlineStr">
        <is>
          <t>CPH Config</t>
        </is>
      </c>
      <c r="C35" s="19" t="inlineStr">
        <is>
          <t>Cache stats accessible to ADMIN</t>
        </is>
      </c>
      <c r="D35" s="19" t="inlineStr">
        <is>
          <t>High</t>
        </is>
      </c>
      <c r="E35" s="19" t="inlineStr">
        <is>
          <t>ADMIN logged in</t>
        </is>
      </c>
      <c r="F35" s="19" t="inlineStr">
        <is>
          <t>1. Call /forecast_app/api/cache/stats/</t>
        </is>
      </c>
      <c r="G35" s="19" t="inlineStr">
        <is>
          <t>Cache backend, TTLs, key counts returned</t>
        </is>
      </c>
      <c r="H35" s="19" t="inlineStr"/>
      <c r="I35" s="19" t="inlineStr">
        <is>
          <t>Not Tested</t>
        </is>
      </c>
      <c r="J35" s="19" t="inlineStr"/>
      <c r="K35" s="19" t="inlineStr"/>
      <c r="L35" s="19" t="inlineStr"/>
      <c r="M35" s="19" t="inlineStr"/>
    </row>
    <row r="36" ht="55" customHeight="1">
      <c r="A36" s="18" t="inlineStr">
        <is>
          <t>TC-D3-035</t>
        </is>
      </c>
      <c r="B36" s="18" t="inlineStr">
        <is>
          <t>CPH Config</t>
        </is>
      </c>
      <c r="C36" s="18" t="inlineStr">
        <is>
          <t>Clear cascade cache endpoint</t>
        </is>
      </c>
      <c r="D36" s="18" t="inlineStr">
        <is>
          <t>High</t>
        </is>
      </c>
      <c r="E36" s="18" t="inlineStr">
        <is>
          <t>ADMIN logged in</t>
        </is>
      </c>
      <c r="F36" s="18" t="inlineStr">
        <is>
          <t>1. Call /forecast_app/api/cache/clear/cascade/</t>
        </is>
      </c>
      <c r="G36" s="18" t="inlineStr">
        <is>
          <t>Cascade filter caches cleared; 200 response</t>
        </is>
      </c>
      <c r="H36" s="18" t="inlineStr"/>
      <c r="I36" s="18" t="inlineStr">
        <is>
          <t>Not Tested</t>
        </is>
      </c>
      <c r="J36" s="18" t="inlineStr"/>
      <c r="K36" s="18" t="inlineStr"/>
      <c r="L36" s="18" t="inlineStr"/>
      <c r="M36" s="18" t="inlineStr"/>
    </row>
  </sheetData>
  <autoFilter ref="A1:M1"/>
  <dataValidations count="2">
    <dataValidation sqref="I2:I37" showDropDown="0" showInputMessage="0" showErrorMessage="1" allowBlank="1" errorTitle="Status Error" error="Invalid status" type="list">
      <formula1>"Pass,Fail,Blocked,Not Tested,In Progress"</formula1>
    </dataValidation>
    <dataValidation sqref="D2:D37" showDropDown="0" showInputMessage="0" showErrorMessage="1" allowBlank="1" type="list">
      <formula1>"High,Medium,Low"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0" customWidth="1" min="4" max="4"/>
    <col width="40" customWidth="1" min="5" max="5"/>
    <col width="60" customWidth="1" min="6" max="6"/>
    <col width="45" customWidth="1" min="7" max="7"/>
    <col width="45" customWidth="1" min="8" max="8"/>
    <col width="15" customWidth="1" min="9" max="9"/>
    <col width="12" customWidth="1" min="10" max="10"/>
    <col width="15" customWidth="1" min="11" max="11"/>
    <col width="15" customWidth="1" min="12" max="12"/>
    <col width="30" customWidth="1" min="13" max="13"/>
  </cols>
  <sheetData>
    <row r="1" ht="30" customHeight="1">
      <c r="A1" s="6" t="inlineStr">
        <is>
          <t>TC-ID</t>
        </is>
      </c>
      <c r="B1" s="6" t="inlineStr">
        <is>
          <t>Module</t>
        </is>
      </c>
      <c r="C1" s="6" t="inlineStr">
        <is>
          <t>Test Case Name</t>
        </is>
      </c>
      <c r="D1" s="6" t="inlineStr">
        <is>
          <t>Priority</t>
        </is>
      </c>
      <c r="E1" s="6" t="inlineStr">
        <is>
          <t>Pre-conditions</t>
        </is>
      </c>
      <c r="F1" s="6" t="inlineStr">
        <is>
          <t>Test Steps</t>
        </is>
      </c>
      <c r="G1" s="6" t="inlineStr">
        <is>
          <t>Expected Result</t>
        </is>
      </c>
      <c r="H1" s="6" t="inlineStr">
        <is>
          <t>Actual Result</t>
        </is>
      </c>
      <c r="I1" s="6" t="inlineStr">
        <is>
          <t>Status</t>
        </is>
      </c>
      <c r="J1" s="6" t="inlineStr">
        <is>
          <t>Bug-ID</t>
        </is>
      </c>
      <c r="K1" s="6" t="inlineStr">
        <is>
          <t>Tested By</t>
        </is>
      </c>
      <c r="L1" s="6" t="inlineStr">
        <is>
          <t>Tested On</t>
        </is>
      </c>
      <c r="M1" s="6" t="inlineStr">
        <is>
          <t>Notes</t>
        </is>
      </c>
    </row>
    <row r="2" ht="55" customHeight="1">
      <c r="A2" s="18" t="inlineStr">
        <is>
          <t>TC-D4-001</t>
        </is>
      </c>
      <c r="B2" s="18" t="inlineStr">
        <is>
          <t>Edit View</t>
        </is>
      </c>
      <c r="C2" s="18" t="inlineStr">
        <is>
          <t>Edit view page loads with tabs</t>
        </is>
      </c>
      <c r="D2" s="18" t="inlineStr">
        <is>
          <t>High</t>
        </is>
      </c>
      <c r="E2" s="18" t="inlineStr">
        <is>
          <t>EDITOR logged in</t>
        </is>
      </c>
      <c r="F2" s="18" t="inlineStr">
        <is>
          <t>1. Navigate to /forecast_app/edit-view/</t>
        </is>
      </c>
      <c r="G2" s="18" t="inlineStr">
        <is>
          <t>Page loads with Bench Allocation and History Log tabs visible</t>
        </is>
      </c>
      <c r="H2" s="18" t="inlineStr"/>
      <c r="I2" s="18" t="inlineStr">
        <is>
          <t>Not Tested</t>
        </is>
      </c>
      <c r="J2" s="18" t="inlineStr"/>
      <c r="K2" s="18" t="inlineStr"/>
      <c r="L2" s="18" t="inlineStr"/>
      <c r="M2" s="18" t="inlineStr"/>
    </row>
    <row r="3" ht="55" customHeight="1">
      <c r="A3" s="19" t="inlineStr">
        <is>
          <t>TC-D4-002</t>
        </is>
      </c>
      <c r="B3" s="19" t="inlineStr">
        <is>
          <t>Edit View</t>
        </is>
      </c>
      <c r="C3" s="19" t="inlineStr">
        <is>
          <t>Bench Allocation tab active by default</t>
        </is>
      </c>
      <c r="D3" s="19" t="inlineStr">
        <is>
          <t>Medium</t>
        </is>
      </c>
      <c r="E3" s="19" t="inlineStr">
        <is>
          <t>Edit view open</t>
        </is>
      </c>
      <c r="F3" s="19" t="inlineStr">
        <is>
          <t>1. Open edit view
2. Observe default tab</t>
        </is>
      </c>
      <c r="G3" s="19" t="inlineStr">
        <is>
          <t>Bench Allocation tab is active by default</t>
        </is>
      </c>
      <c r="H3" s="19" t="inlineStr"/>
      <c r="I3" s="19" t="inlineStr">
        <is>
          <t>Not Tested</t>
        </is>
      </c>
      <c r="J3" s="19" t="inlineStr"/>
      <c r="K3" s="19" t="inlineStr"/>
      <c r="L3" s="19" t="inlineStr"/>
      <c r="M3" s="19" t="inlineStr"/>
    </row>
    <row r="4" ht="55" customHeight="1">
      <c r="A4" s="18" t="inlineStr">
        <is>
          <t>TC-D4-003</t>
        </is>
      </c>
      <c r="B4" s="18" t="inlineStr">
        <is>
          <t>Edit View</t>
        </is>
      </c>
      <c r="C4" s="18" t="inlineStr">
        <is>
          <t>Allocation reports dropdown populated</t>
        </is>
      </c>
      <c r="D4" s="18" t="inlineStr">
        <is>
          <t>High</t>
        </is>
      </c>
      <c r="E4" s="18" t="inlineStr">
        <is>
          <t>Edit view open</t>
        </is>
      </c>
      <c r="F4" s="18" t="inlineStr">
        <is>
          <t>1. Open allocation reports dropdown</t>
        </is>
      </c>
      <c r="G4" s="18" t="inlineStr">
        <is>
          <t>Available report periods (month/year combinations) listed</t>
        </is>
      </c>
      <c r="H4" s="18" t="inlineStr"/>
      <c r="I4" s="18" t="inlineStr">
        <is>
          <t>Not Tested</t>
        </is>
      </c>
      <c r="J4" s="18" t="inlineStr"/>
      <c r="K4" s="18" t="inlineStr"/>
      <c r="L4" s="18" t="inlineStr"/>
      <c r="M4" s="18" t="inlineStr"/>
    </row>
    <row r="5" ht="55" customHeight="1">
      <c r="A5" s="19" t="inlineStr">
        <is>
          <t>TC-D4-004</t>
        </is>
      </c>
      <c r="B5" s="19" t="inlineStr">
        <is>
          <t>Edit View</t>
        </is>
      </c>
      <c r="C5" s="19" t="inlineStr">
        <is>
          <t>Switch to History Log tab</t>
        </is>
      </c>
      <c r="D5" s="19" t="inlineStr">
        <is>
          <t>Medium</t>
        </is>
      </c>
      <c r="E5" s="19" t="inlineStr">
        <is>
          <t>Edit view open</t>
        </is>
      </c>
      <c r="F5" s="19" t="inlineStr">
        <is>
          <t>1. Click History Log tab</t>
        </is>
      </c>
      <c r="G5" s="19" t="inlineStr">
        <is>
          <t>History log content loads in tab</t>
        </is>
      </c>
      <c r="H5" s="19" t="inlineStr"/>
      <c r="I5" s="19" t="inlineStr">
        <is>
          <t>Not Tested</t>
        </is>
      </c>
      <c r="J5" s="19" t="inlineStr"/>
      <c r="K5" s="19" t="inlineStr"/>
      <c r="L5" s="19" t="inlineStr"/>
      <c r="M5" s="19" t="inlineStr"/>
    </row>
    <row r="6" ht="55" customHeight="1">
      <c r="A6" s="18" t="inlineStr">
        <is>
          <t>TC-D4-005</t>
        </is>
      </c>
      <c r="B6" s="18" t="inlineStr">
        <is>
          <t>Edit View</t>
        </is>
      </c>
      <c r="C6" s="18" t="inlineStr">
        <is>
          <t>EDITOR role can access edit view</t>
        </is>
      </c>
      <c r="D6" s="18" t="inlineStr">
        <is>
          <t>High</t>
        </is>
      </c>
      <c r="E6" s="18" t="inlineStr">
        <is>
          <t>EDITOR logged in</t>
        </is>
      </c>
      <c r="F6" s="18" t="inlineStr">
        <is>
          <t>1. Login as EDITOR
2. Navigate to /forecast_app/edit-view/</t>
        </is>
      </c>
      <c r="G6" s="18" t="inlineStr">
        <is>
          <t>Edit view accessible; edit actions available for EDITOR</t>
        </is>
      </c>
      <c r="H6" s="18" t="inlineStr"/>
      <c r="I6" s="18" t="inlineStr">
        <is>
          <t>Not Tested</t>
        </is>
      </c>
      <c r="J6" s="18" t="inlineStr"/>
      <c r="K6" s="18" t="inlineStr"/>
      <c r="L6" s="18" t="inlineStr"/>
      <c r="M6" s="18" t="inlineStr"/>
    </row>
    <row r="7" ht="55" customHeight="1">
      <c r="A7" s="19" t="inlineStr">
        <is>
          <t>TC-D4-006</t>
        </is>
      </c>
      <c r="B7" s="19" t="inlineStr">
        <is>
          <t>Bench Allocation</t>
        </is>
      </c>
      <c r="C7" s="19" t="inlineStr">
        <is>
          <t>Preview allocation for valid month/year</t>
        </is>
      </c>
      <c r="D7" s="19" t="inlineStr">
        <is>
          <t>High</t>
        </is>
      </c>
      <c r="E7" s="19" t="inlineStr">
        <is>
          <t>EDITOR logged in</t>
        </is>
      </c>
      <c r="F7" s="19" t="inlineStr">
        <is>
          <t>1. Select valid month and year
2. Click Preview</t>
        </is>
      </c>
      <c r="G7" s="19" t="inlineStr">
        <is>
          <t>Preview card shown with projected allocation data and impact</t>
        </is>
      </c>
      <c r="H7" s="19" t="inlineStr"/>
      <c r="I7" s="19" t="inlineStr">
        <is>
          <t>Not Tested</t>
        </is>
      </c>
      <c r="J7" s="19" t="inlineStr"/>
      <c r="K7" s="19" t="inlineStr"/>
      <c r="L7" s="19" t="inlineStr"/>
      <c r="M7" s="19" t="inlineStr"/>
    </row>
    <row r="8" ht="55" customHeight="1">
      <c r="A8" s="18" t="inlineStr">
        <is>
          <t>TC-D4-007</t>
        </is>
      </c>
      <c r="B8" s="18" t="inlineStr">
        <is>
          <t>Bench Allocation</t>
        </is>
      </c>
      <c r="C8" s="18" t="inlineStr">
        <is>
          <t>Preview allocation for invalid date format</t>
        </is>
      </c>
      <c r="D8" s="18" t="inlineStr">
        <is>
          <t>High</t>
        </is>
      </c>
      <c r="E8" s="18" t="inlineStr">
        <is>
          <t>Edit view open</t>
        </is>
      </c>
      <c r="F8" s="18" t="inlineStr">
        <is>
          <t>1. Enter invalid date in month/year
2. Click Preview</t>
        </is>
      </c>
      <c r="G8" s="18" t="inlineStr">
        <is>
          <t>Error message: invalid date format returned</t>
        </is>
      </c>
      <c r="H8" s="18" t="inlineStr"/>
      <c r="I8" s="18" t="inlineStr">
        <is>
          <t>Not Tested</t>
        </is>
      </c>
      <c r="J8" s="18" t="inlineStr"/>
      <c r="K8" s="18" t="inlineStr"/>
      <c r="L8" s="18" t="inlineStr"/>
      <c r="M8" s="18" t="inlineStr"/>
    </row>
    <row r="9" ht="55" customHeight="1">
      <c r="A9" s="19" t="inlineStr">
        <is>
          <t>TC-D4-008</t>
        </is>
      </c>
      <c r="B9" s="19" t="inlineStr">
        <is>
          <t>Bench Allocation</t>
        </is>
      </c>
      <c r="C9" s="19" t="inlineStr">
        <is>
          <t>Update single LOB allocation</t>
        </is>
      </c>
      <c r="D9" s="19" t="inlineStr">
        <is>
          <t>High</t>
        </is>
      </c>
      <c r="E9" s="19" t="inlineStr">
        <is>
          <t>EDITOR logged in; preview shown</t>
        </is>
      </c>
      <c r="F9" s="19" t="inlineStr">
        <is>
          <t>1. Preview allocation
2. Modify single LOB value
3. Submit update</t>
        </is>
      </c>
      <c r="G9" s="19" t="inlineStr">
        <is>
          <t>Single LOB allocation updated in backend successfully</t>
        </is>
      </c>
      <c r="H9" s="19" t="inlineStr"/>
      <c r="I9" s="19" t="inlineStr">
        <is>
          <t>Not Tested</t>
        </is>
      </c>
      <c r="J9" s="19" t="inlineStr"/>
      <c r="K9" s="19" t="inlineStr"/>
      <c r="L9" s="19" t="inlineStr"/>
      <c r="M9" s="19" t="inlineStr"/>
    </row>
    <row r="10" ht="55" customHeight="1">
      <c r="A10" s="18" t="inlineStr">
        <is>
          <t>TC-D4-009</t>
        </is>
      </c>
      <c r="B10" s="18" t="inlineStr">
        <is>
          <t>Bench Allocation</t>
        </is>
      </c>
      <c r="C10" s="18" t="inlineStr">
        <is>
          <t>Update multiple LOBs in one submission</t>
        </is>
      </c>
      <c r="D10" s="18" t="inlineStr">
        <is>
          <t>High</t>
        </is>
      </c>
      <c r="E10" s="18" t="inlineStr">
        <is>
          <t>EDITOR logged in</t>
        </is>
      </c>
      <c r="F10" s="18" t="inlineStr">
        <is>
          <t>1. Modify multiple LOB values
2. Submit bulk update</t>
        </is>
      </c>
      <c r="G10" s="18" t="inlineStr">
        <is>
          <t>All LOB allocations updated atomically</t>
        </is>
      </c>
      <c r="H10" s="18" t="inlineStr"/>
      <c r="I10" s="18" t="inlineStr">
        <is>
          <t>Not Tested</t>
        </is>
      </c>
      <c r="J10" s="18" t="inlineStr"/>
      <c r="K10" s="18" t="inlineStr"/>
      <c r="L10" s="18" t="inlineStr"/>
      <c r="M10" s="18" t="inlineStr"/>
    </row>
    <row r="11" ht="55" customHeight="1">
      <c r="A11" s="19" t="inlineStr">
        <is>
          <t>TC-D4-010</t>
        </is>
      </c>
      <c r="B11" s="19" t="inlineStr">
        <is>
          <t>Bench Allocation</t>
        </is>
      </c>
      <c r="C11" s="19" t="inlineStr">
        <is>
          <t>Validation on negative allocation value</t>
        </is>
      </c>
      <c r="D11" s="19" t="inlineStr">
        <is>
          <t>Medium</t>
        </is>
      </c>
      <c r="E11" s="19" t="inlineStr">
        <is>
          <t>Allocation form open</t>
        </is>
      </c>
      <c r="F11" s="19" t="inlineStr">
        <is>
          <t>1. Enter negative value for allocation
2. Submit</t>
        </is>
      </c>
      <c r="G11" s="19" t="inlineStr">
        <is>
          <t>Validation error: allocation must be non-negative</t>
        </is>
      </c>
      <c r="H11" s="19" t="inlineStr"/>
      <c r="I11" s="19" t="inlineStr">
        <is>
          <t>Not Tested</t>
        </is>
      </c>
      <c r="J11" s="19" t="inlineStr"/>
      <c r="K11" s="19" t="inlineStr"/>
      <c r="L11" s="19" t="inlineStr"/>
      <c r="M11" s="19" t="inlineStr"/>
    </row>
    <row r="12" ht="55" customHeight="1">
      <c r="A12" s="18" t="inlineStr">
        <is>
          <t>TC-D4-011</t>
        </is>
      </c>
      <c r="B12" s="18" t="inlineStr">
        <is>
          <t>Bench Allocation</t>
        </is>
      </c>
      <c r="C12" s="18" t="inlineStr">
        <is>
          <t>Validation on non-numeric allocation</t>
        </is>
      </c>
      <c r="D12" s="18" t="inlineStr">
        <is>
          <t>Medium</t>
        </is>
      </c>
      <c r="E12" s="18" t="inlineStr">
        <is>
          <t>Allocation form open</t>
        </is>
      </c>
      <c r="F12" s="18" t="inlineStr">
        <is>
          <t>1. Enter text in allocation field
2. Submit</t>
        </is>
      </c>
      <c r="G12" s="18" t="inlineStr">
        <is>
          <t>Validation error: allocation must be numeric</t>
        </is>
      </c>
      <c r="H12" s="18" t="inlineStr"/>
      <c r="I12" s="18" t="inlineStr">
        <is>
          <t>Not Tested</t>
        </is>
      </c>
      <c r="J12" s="18" t="inlineStr"/>
      <c r="K12" s="18" t="inlineStr"/>
      <c r="L12" s="18" t="inlineStr"/>
      <c r="M12" s="18" t="inlineStr"/>
    </row>
    <row r="13" ht="55" customHeight="1">
      <c r="A13" s="19" t="inlineStr">
        <is>
          <t>TC-D4-012</t>
        </is>
      </c>
      <c r="B13" s="19" t="inlineStr">
        <is>
          <t>Bench Allocation</t>
        </is>
      </c>
      <c r="C13" s="19" t="inlineStr">
        <is>
          <t>Audit trail created on allocation update</t>
        </is>
      </c>
      <c r="D13" s="19" t="inlineStr">
        <is>
          <t>High</t>
        </is>
      </c>
      <c r="E13" s="19" t="inlineStr">
        <is>
          <t>EDITOR logged in</t>
        </is>
      </c>
      <c r="F13" s="19" t="inlineStr">
        <is>
          <t>1. Update allocation
2. Navigate to History Log tab</t>
        </is>
      </c>
      <c r="G13" s="19" t="inlineStr">
        <is>
          <t>Change recorded with user, timestamp, old and new values</t>
        </is>
      </c>
      <c r="H13" s="19" t="inlineStr"/>
      <c r="I13" s="19" t="inlineStr">
        <is>
          <t>Not Tested</t>
        </is>
      </c>
      <c r="J13" s="19" t="inlineStr"/>
      <c r="K13" s="19" t="inlineStr"/>
      <c r="L13" s="19" t="inlineStr"/>
      <c r="M13" s="19" t="inlineStr"/>
    </row>
    <row r="14" ht="55" customHeight="1">
      <c r="A14" s="18" t="inlineStr">
        <is>
          <t>TC-D4-013</t>
        </is>
      </c>
      <c r="B14" s="18" t="inlineStr">
        <is>
          <t>Bench Allocation</t>
        </is>
      </c>
      <c r="C14" s="18" t="inlineStr">
        <is>
          <t>Available change types endpoint responds</t>
        </is>
      </c>
      <c r="D14" s="18" t="inlineStr">
        <is>
          <t>Medium</t>
        </is>
      </c>
      <c r="E14" s="18" t="inlineStr">
        <is>
          <t>ADMIN logged in</t>
        </is>
      </c>
      <c r="F14" s="18" t="inlineStr">
        <is>
          <t>1. Call /api/edit-view/available-change-types/</t>
        </is>
      </c>
      <c r="G14" s="18" t="inlineStr">
        <is>
          <t>List of supported change types returned</t>
        </is>
      </c>
      <c r="H14" s="18" t="inlineStr"/>
      <c r="I14" s="18" t="inlineStr">
        <is>
          <t>Not Tested</t>
        </is>
      </c>
      <c r="J14" s="18" t="inlineStr"/>
      <c r="K14" s="18" t="inlineStr"/>
      <c r="L14" s="18" t="inlineStr"/>
      <c r="M14" s="18" t="inlineStr"/>
    </row>
    <row r="15" ht="55" customHeight="1">
      <c r="A15" s="19" t="inlineStr">
        <is>
          <t>TC-D4-014</t>
        </is>
      </c>
      <c r="B15" s="19" t="inlineStr">
        <is>
          <t>Target CPH</t>
        </is>
      </c>
      <c r="C15" s="19" t="inlineStr">
        <is>
          <t>View current CPH targets in edit view</t>
        </is>
      </c>
      <c r="D15" s="19" t="inlineStr">
        <is>
          <t>High</t>
        </is>
      </c>
      <c r="E15" s="19" t="inlineStr">
        <is>
          <t>EDITOR logged in</t>
        </is>
      </c>
      <c r="F15" s="19" t="inlineStr">
        <is>
          <t>1. Open edit view
2. Navigate to CPH section</t>
        </is>
      </c>
      <c r="G15" s="19" t="inlineStr">
        <is>
          <t>Current CPH values for each LOB/case type shown</t>
        </is>
      </c>
      <c r="H15" s="19" t="inlineStr"/>
      <c r="I15" s="19" t="inlineStr">
        <is>
          <t>Not Tested</t>
        </is>
      </c>
      <c r="J15" s="19" t="inlineStr"/>
      <c r="K15" s="19" t="inlineStr"/>
      <c r="L15" s="19" t="inlineStr"/>
      <c r="M15" s="19" t="inlineStr"/>
    </row>
    <row r="16" ht="55" customHeight="1">
      <c r="A16" s="18" t="inlineStr">
        <is>
          <t>TC-D4-015</t>
        </is>
      </c>
      <c r="B16" s="18" t="inlineStr">
        <is>
          <t>Target CPH</t>
        </is>
      </c>
      <c r="C16" s="18" t="inlineStr">
        <is>
          <t>Preview CPH change impact</t>
        </is>
      </c>
      <c r="D16" s="18" t="inlineStr">
        <is>
          <t>High</t>
        </is>
      </c>
      <c r="E16" s="18" t="inlineStr">
        <is>
          <t>CPH data loaded; row selected</t>
        </is>
      </c>
      <c r="F16" s="18" t="inlineStr">
        <is>
          <t>1. Enter new CPH value
2. Click Preview</t>
        </is>
      </c>
      <c r="G16" s="18" t="inlineStr">
        <is>
          <t>Preview card shows old→new CPH and impact per month (FTE/Capacity/Gap)</t>
        </is>
      </c>
      <c r="H16" s="18" t="inlineStr"/>
      <c r="I16" s="18" t="inlineStr">
        <is>
          <t>Not Tested</t>
        </is>
      </c>
      <c r="J16" s="18" t="inlineStr"/>
      <c r="K16" s="18" t="inlineStr"/>
      <c r="L16" s="18" t="inlineStr"/>
      <c r="M16" s="18" t="inlineStr"/>
    </row>
    <row r="17" ht="55" customHeight="1">
      <c r="A17" s="19" t="inlineStr">
        <is>
          <t>TC-D4-016</t>
        </is>
      </c>
      <c r="B17" s="19" t="inlineStr">
        <is>
          <t>Target CPH</t>
        </is>
      </c>
      <c r="C17" s="19" t="inlineStr">
        <is>
          <t>Update CPH value via edit view</t>
        </is>
      </c>
      <c r="D17" s="19" t="inlineStr">
        <is>
          <t>High</t>
        </is>
      </c>
      <c r="E17" s="19" t="inlineStr">
        <is>
          <t>EDITOR logged in</t>
        </is>
      </c>
      <c r="F17" s="19" t="inlineStr">
        <is>
          <t>1. Preview CPH change
2. Confirm update</t>
        </is>
      </c>
      <c r="G17" s="19" t="inlineStr">
        <is>
          <t>CPH updated in backend; forecast data refreshes</t>
        </is>
      </c>
      <c r="H17" s="19" t="inlineStr"/>
      <c r="I17" s="19" t="inlineStr">
        <is>
          <t>Not Tested</t>
        </is>
      </c>
      <c r="J17" s="19" t="inlineStr"/>
      <c r="K17" s="19" t="inlineStr"/>
      <c r="L17" s="19" t="inlineStr"/>
      <c r="M17" s="19" t="inlineStr"/>
    </row>
    <row r="18" ht="55" customHeight="1">
      <c r="A18" s="18" t="inlineStr">
        <is>
          <t>TC-D4-017</t>
        </is>
      </c>
      <c r="B18" s="18" t="inlineStr">
        <is>
          <t>Target CPH</t>
        </is>
      </c>
      <c r="C18" s="18" t="inlineStr">
        <is>
          <t>CPH validation: zero or negative rejected</t>
        </is>
      </c>
      <c r="D18" s="18" t="inlineStr">
        <is>
          <t>High</t>
        </is>
      </c>
      <c r="E18" s="18" t="inlineStr">
        <is>
          <t>CPH form open</t>
        </is>
      </c>
      <c r="F18" s="18" t="inlineStr">
        <is>
          <t>1. Enter CPH = 0 or negative value
2. Submit</t>
        </is>
      </c>
      <c r="G18" s="18" t="inlineStr">
        <is>
          <t>Validation error: CPH must be greater than 0</t>
        </is>
      </c>
      <c r="H18" s="18" t="inlineStr"/>
      <c r="I18" s="18" t="inlineStr">
        <is>
          <t>Not Tested</t>
        </is>
      </c>
      <c r="J18" s="18" t="inlineStr"/>
      <c r="K18" s="18" t="inlineStr"/>
      <c r="L18" s="18" t="inlineStr"/>
      <c r="M18" s="18" t="inlineStr"/>
    </row>
    <row r="19" ht="55" customHeight="1">
      <c r="A19" s="19" t="inlineStr">
        <is>
          <t>TC-D4-018</t>
        </is>
      </c>
      <c r="B19" s="19" t="inlineStr">
        <is>
          <t>Target CPH</t>
        </is>
      </c>
      <c r="C19" s="19" t="inlineStr">
        <is>
          <t>CPH validation: text value rejected</t>
        </is>
      </c>
      <c r="D19" s="19" t="inlineStr">
        <is>
          <t>Medium</t>
        </is>
      </c>
      <c r="E19" s="19" t="inlineStr">
        <is>
          <t>CPH form open</t>
        </is>
      </c>
      <c r="F19" s="19" t="inlineStr">
        <is>
          <t>1. Enter non-numeric text in CPH field
2. Submit</t>
        </is>
      </c>
      <c r="G19" s="19" t="inlineStr">
        <is>
          <t>Validation error: CPH must be a number</t>
        </is>
      </c>
      <c r="H19" s="19" t="inlineStr"/>
      <c r="I19" s="19" t="inlineStr">
        <is>
          <t>Not Tested</t>
        </is>
      </c>
      <c r="J19" s="19" t="inlineStr"/>
      <c r="K19" s="19" t="inlineStr"/>
      <c r="L19" s="19" t="inlineStr"/>
      <c r="M19" s="19" t="inlineStr"/>
    </row>
    <row r="20" ht="55" customHeight="1">
      <c r="A20" s="18" t="inlineStr">
        <is>
          <t>TC-D4-019</t>
        </is>
      </c>
      <c r="B20" s="18" t="inlineStr">
        <is>
          <t>Target CPH</t>
        </is>
      </c>
      <c r="C20" s="18" t="inlineStr">
        <is>
          <t>CPH change reflected in forecast table</t>
        </is>
      </c>
      <c r="D20" s="18" t="inlineStr">
        <is>
          <t>High</t>
        </is>
      </c>
      <c r="E20" s="18" t="inlineStr">
        <is>
          <t>CPH updated successfully</t>
        </is>
      </c>
      <c r="F20" s="18" t="inlineStr">
        <is>
          <t>1. Update CPH
2. Navigate to forecast table
3. Check FTE Required column</t>
        </is>
      </c>
      <c r="G20" s="18" t="inlineStr">
        <is>
          <t>FTE Required recalculated with new CPH value</t>
        </is>
      </c>
      <c r="H20" s="18" t="inlineStr"/>
      <c r="I20" s="18" t="inlineStr">
        <is>
          <t>Not Tested</t>
        </is>
      </c>
      <c r="J20" s="18" t="inlineStr"/>
      <c r="K20" s="18" t="inlineStr"/>
      <c r="L20" s="18" t="inlineStr"/>
      <c r="M20" s="18" t="inlineStr"/>
    </row>
    <row r="21" ht="55" customHeight="1">
      <c r="A21" s="19" t="inlineStr">
        <is>
          <t>TC-D4-020</t>
        </is>
      </c>
      <c r="B21" s="19" t="inlineStr">
        <is>
          <t>Reallocation</t>
        </is>
      </c>
      <c r="C21" s="19" t="inlineStr">
        <is>
          <t>Forecast reallocation filters load</t>
        </is>
      </c>
      <c r="D21" s="19" t="inlineStr">
        <is>
          <t>High</t>
        </is>
      </c>
      <c r="E21" s="19" t="inlineStr">
        <is>
          <t>EDITOR logged in</t>
        </is>
      </c>
      <c r="F21" s="19" t="inlineStr">
        <is>
          <t>1. Navigate to forecast reallocation section
2. Load filters</t>
        </is>
      </c>
      <c r="G21" s="19" t="inlineStr">
        <is>
          <t>Filter dropdowns for reallocation populate correctly</t>
        </is>
      </c>
      <c r="H21" s="19" t="inlineStr"/>
      <c r="I21" s="19" t="inlineStr">
        <is>
          <t>Not Tested</t>
        </is>
      </c>
      <c r="J21" s="19" t="inlineStr"/>
      <c r="K21" s="19" t="inlineStr"/>
      <c r="L21" s="19" t="inlineStr"/>
      <c r="M21" s="19" t="inlineStr"/>
    </row>
    <row r="22" ht="55" customHeight="1">
      <c r="A22" s="18" t="inlineStr">
        <is>
          <t>TC-D4-021</t>
        </is>
      </c>
      <c r="B22" s="18" t="inlineStr">
        <is>
          <t>Reallocation</t>
        </is>
      </c>
      <c r="C22" s="18" t="inlineStr">
        <is>
          <t>Reallocation data loads for selected filters</t>
        </is>
      </c>
      <c r="D22" s="18" t="inlineStr">
        <is>
          <t>High</t>
        </is>
      </c>
      <c r="E22" s="18" t="inlineStr">
        <is>
          <t>Filters selected</t>
        </is>
      </c>
      <c r="F22" s="18" t="inlineStr">
        <is>
          <t>1. Select reallocation filters
2. Load data</t>
        </is>
      </c>
      <c r="G22" s="18" t="inlineStr">
        <is>
          <t>Reallocation data shown for selected filter combination</t>
        </is>
      </c>
      <c r="H22" s="18" t="inlineStr"/>
      <c r="I22" s="18" t="inlineStr">
        <is>
          <t>Not Tested</t>
        </is>
      </c>
      <c r="J22" s="18" t="inlineStr"/>
      <c r="K22" s="18" t="inlineStr"/>
      <c r="L22" s="18" t="inlineStr"/>
      <c r="M22" s="18" t="inlineStr"/>
    </row>
    <row r="23" ht="55" customHeight="1">
      <c r="A23" s="19" t="inlineStr">
        <is>
          <t>TC-D4-022</t>
        </is>
      </c>
      <c r="B23" s="19" t="inlineStr">
        <is>
          <t>Reallocation</t>
        </is>
      </c>
      <c r="C23" s="19" t="inlineStr">
        <is>
          <t>Preview reallocation impact</t>
        </is>
      </c>
      <c r="D23" s="19" t="inlineStr">
        <is>
          <t>High</t>
        </is>
      </c>
      <c r="E23" s="19" t="inlineStr">
        <is>
          <t>Data loaded</t>
        </is>
      </c>
      <c r="F23" s="19" t="inlineStr">
        <is>
          <t>1. Modify allocation values
2. Click Preview</t>
        </is>
      </c>
      <c r="G23" s="19" t="inlineStr">
        <is>
          <t>Impact of reallocation shown before saving</t>
        </is>
      </c>
      <c r="H23" s="19" t="inlineStr"/>
      <c r="I23" s="19" t="inlineStr">
        <is>
          <t>Not Tested</t>
        </is>
      </c>
      <c r="J23" s="19" t="inlineStr"/>
      <c r="K23" s="19" t="inlineStr"/>
      <c r="L23" s="19" t="inlineStr"/>
      <c r="M23" s="19" t="inlineStr"/>
    </row>
    <row r="24" ht="55" customHeight="1">
      <c r="A24" s="18" t="inlineStr">
        <is>
          <t>TC-D4-023</t>
        </is>
      </c>
      <c r="B24" s="18" t="inlineStr">
        <is>
          <t>Reallocation</t>
        </is>
      </c>
      <c r="C24" s="18" t="inlineStr">
        <is>
          <t>Update reallocation values</t>
        </is>
      </c>
      <c r="D24" s="18" t="inlineStr">
        <is>
          <t>High</t>
        </is>
      </c>
      <c r="E24" s="18" t="inlineStr">
        <is>
          <t>Preview shown and verified</t>
        </is>
      </c>
      <c r="F24" s="18" t="inlineStr">
        <is>
          <t>1. Preview reallocation
2. Confirm update</t>
        </is>
      </c>
      <c r="G24" s="18" t="inlineStr">
        <is>
          <t>Reallocation saved to backend successfully</t>
        </is>
      </c>
      <c r="H24" s="18" t="inlineStr"/>
      <c r="I24" s="18" t="inlineStr">
        <is>
          <t>Not Tested</t>
        </is>
      </c>
      <c r="J24" s="18" t="inlineStr"/>
      <c r="K24" s="18" t="inlineStr"/>
      <c r="L24" s="18" t="inlineStr"/>
      <c r="M24" s="18" t="inlineStr"/>
    </row>
    <row r="25" ht="55" customHeight="1">
      <c r="A25" s="19" t="inlineStr">
        <is>
          <t>TC-D4-024</t>
        </is>
      </c>
      <c r="B25" s="19" t="inlineStr">
        <is>
          <t>Reallocation</t>
        </is>
      </c>
      <c r="C25" s="19" t="inlineStr">
        <is>
          <t>Invalid reallocation values rejected</t>
        </is>
      </c>
      <c r="D25" s="19" t="inlineStr">
        <is>
          <t>Medium</t>
        </is>
      </c>
      <c r="E25" s="19" t="inlineStr">
        <is>
          <t>Reallocation form open</t>
        </is>
      </c>
      <c r="F25" s="19" t="inlineStr">
        <is>
          <t>1. Enter invalid values in reallocation fields
2. Try to submit</t>
        </is>
      </c>
      <c r="G25" s="19" t="inlineStr">
        <is>
          <t>Validation errors shown for each invalid field</t>
        </is>
      </c>
      <c r="H25" s="19" t="inlineStr"/>
      <c r="I25" s="19" t="inlineStr">
        <is>
          <t>Not Tested</t>
        </is>
      </c>
      <c r="J25" s="19" t="inlineStr"/>
      <c r="K25" s="19" t="inlineStr"/>
      <c r="L25" s="19" t="inlineStr"/>
      <c r="M25" s="19" t="inlineStr"/>
    </row>
    <row r="26" ht="55" customHeight="1">
      <c r="A26" s="18" t="inlineStr">
        <is>
          <t>TC-D4-025</t>
        </is>
      </c>
      <c r="B26" s="18" t="inlineStr">
        <is>
          <t>History Log</t>
        </is>
      </c>
      <c r="C26" s="18" t="inlineStr">
        <is>
          <t>History log displays all changes</t>
        </is>
      </c>
      <c r="D26" s="18" t="inlineStr">
        <is>
          <t>High</t>
        </is>
      </c>
      <c r="E26" s="18" t="inlineStr">
        <is>
          <t>Allocation changes previously made</t>
        </is>
      </c>
      <c r="F26" s="18" t="inlineStr">
        <is>
          <t>1. Navigate to History Log tab</t>
        </is>
      </c>
      <c r="G26" s="18" t="inlineStr">
        <is>
          <t>List of all allocation changes shown with timestamps</t>
        </is>
      </c>
      <c r="H26" s="18" t="inlineStr"/>
      <c r="I26" s="18" t="inlineStr">
        <is>
          <t>Not Tested</t>
        </is>
      </c>
      <c r="J26" s="18" t="inlineStr"/>
      <c r="K26" s="18" t="inlineStr"/>
      <c r="L26" s="18" t="inlineStr"/>
      <c r="M26" s="18" t="inlineStr"/>
    </row>
    <row r="27" ht="55" customHeight="1">
      <c r="A27" s="19" t="inlineStr">
        <is>
          <t>TC-D4-026</t>
        </is>
      </c>
      <c r="B27" s="19" t="inlineStr">
        <is>
          <t>History Log</t>
        </is>
      </c>
      <c r="C27" s="19" t="inlineStr">
        <is>
          <t>Filter history by date range</t>
        </is>
      </c>
      <c r="D27" s="19" t="inlineStr">
        <is>
          <t>Medium</t>
        </is>
      </c>
      <c r="E27" s="19" t="inlineStr">
        <is>
          <t>History log open with entries</t>
        </is>
      </c>
      <c r="F27" s="19" t="inlineStr">
        <is>
          <t>1. Set from/to date filter
2. Apply</t>
        </is>
      </c>
      <c r="G27" s="19" t="inlineStr">
        <is>
          <t>Changes within date range shown; outside range excluded</t>
        </is>
      </c>
      <c r="H27" s="19" t="inlineStr"/>
      <c r="I27" s="19" t="inlineStr">
        <is>
          <t>Not Tested</t>
        </is>
      </c>
      <c r="J27" s="19" t="inlineStr"/>
      <c r="K27" s="19" t="inlineStr"/>
      <c r="L27" s="19" t="inlineStr"/>
      <c r="M27" s="19" t="inlineStr"/>
    </row>
    <row r="28" ht="55" customHeight="1">
      <c r="A28" s="18" t="inlineStr">
        <is>
          <t>TC-D4-027</t>
        </is>
      </c>
      <c r="B28" s="18" t="inlineStr">
        <is>
          <t>History Log</t>
        </is>
      </c>
      <c r="C28" s="18" t="inlineStr">
        <is>
          <t>Filter history by user</t>
        </is>
      </c>
      <c r="D28" s="18" t="inlineStr">
        <is>
          <t>Medium</t>
        </is>
      </c>
      <c r="E28" s="18" t="inlineStr">
        <is>
          <t>History log open</t>
        </is>
      </c>
      <c r="F28" s="18" t="inlineStr">
        <is>
          <t>1. Filter by specific username
2. Apply</t>
        </is>
      </c>
      <c r="G28" s="18" t="inlineStr">
        <is>
          <t>Only changes by that user shown</t>
        </is>
      </c>
      <c r="H28" s="18" t="inlineStr"/>
      <c r="I28" s="18" t="inlineStr">
        <is>
          <t>Not Tested</t>
        </is>
      </c>
      <c r="J28" s="18" t="inlineStr"/>
      <c r="K28" s="18" t="inlineStr"/>
      <c r="L28" s="18" t="inlineStr"/>
      <c r="M28" s="18" t="inlineStr"/>
    </row>
    <row r="29" ht="55" customHeight="1">
      <c r="A29" s="19" t="inlineStr">
        <is>
          <t>TC-D4-028</t>
        </is>
      </c>
      <c r="B29" s="19" t="inlineStr">
        <is>
          <t>History Log</t>
        </is>
      </c>
      <c r="C29" s="19" t="inlineStr">
        <is>
          <t>Filter history by change type</t>
        </is>
      </c>
      <c r="D29" s="19" t="inlineStr">
        <is>
          <t>Medium</t>
        </is>
      </c>
      <c r="E29" s="19" t="inlineStr">
        <is>
          <t>History log open</t>
        </is>
      </c>
      <c r="F29" s="19" t="inlineStr">
        <is>
          <t>1. Select change type filter
2. Apply</t>
        </is>
      </c>
      <c r="G29" s="19" t="inlineStr">
        <is>
          <t>Only changes of selected type shown</t>
        </is>
      </c>
      <c r="H29" s="19" t="inlineStr"/>
      <c r="I29" s="19" t="inlineStr">
        <is>
          <t>Not Tested</t>
        </is>
      </c>
      <c r="J29" s="19" t="inlineStr"/>
      <c r="K29" s="19" t="inlineStr"/>
      <c r="L29" s="19" t="inlineStr"/>
      <c r="M29" s="19" t="inlineStr"/>
    </row>
    <row r="30" ht="55" customHeight="1">
      <c r="A30" s="18" t="inlineStr">
        <is>
          <t>TC-D4-029</t>
        </is>
      </c>
      <c r="B30" s="18" t="inlineStr">
        <is>
          <t>History Log</t>
        </is>
      </c>
      <c r="C30" s="18" t="inlineStr">
        <is>
          <t>History log pagination works</t>
        </is>
      </c>
      <c r="D30" s="18" t="inlineStr">
        <is>
          <t>Medium</t>
        </is>
      </c>
      <c r="E30" s="18" t="inlineStr">
        <is>
          <t>Many history records exist</t>
        </is>
      </c>
      <c r="F30" s="18" t="inlineStr">
        <is>
          <t>1. Load history log
2. Navigate between pages</t>
        </is>
      </c>
      <c r="G30" s="18" t="inlineStr">
        <is>
          <t>Pagination works correctly; all records accessible</t>
        </is>
      </c>
      <c r="H30" s="18" t="inlineStr"/>
      <c r="I30" s="18" t="inlineStr">
        <is>
          <t>Not Tested</t>
        </is>
      </c>
      <c r="J30" s="18" t="inlineStr"/>
      <c r="K30" s="18" t="inlineStr"/>
      <c r="L30" s="18" t="inlineStr"/>
      <c r="M30" s="18" t="inlineStr"/>
    </row>
    <row r="31" ht="55" customHeight="1">
      <c r="A31" s="19" t="inlineStr">
        <is>
          <t>TC-D4-030</t>
        </is>
      </c>
      <c r="B31" s="19" t="inlineStr">
        <is>
          <t>History Log</t>
        </is>
      </c>
      <c r="C31" s="19" t="inlineStr">
        <is>
          <t>Download history as Excel</t>
        </is>
      </c>
      <c r="D31" s="19" t="inlineStr">
        <is>
          <t>High</t>
        </is>
      </c>
      <c r="E31" s="19" t="inlineStr">
        <is>
          <t>EDITOR logged in; history entries exist</t>
        </is>
      </c>
      <c r="F31" s="19" t="inlineStr">
        <is>
          <t>1. Click Download on history entry</t>
        </is>
      </c>
      <c r="G31" s="19" t="inlineStr">
        <is>
          <t>Excel file with change details downloaded with correct filename</t>
        </is>
      </c>
      <c r="H31" s="19" t="inlineStr"/>
      <c r="I31" s="19" t="inlineStr">
        <is>
          <t>Not Tested</t>
        </is>
      </c>
      <c r="J31" s="19" t="inlineStr"/>
      <c r="K31" s="19" t="inlineStr"/>
      <c r="L31" s="19" t="inlineStr"/>
      <c r="M31" s="19" t="inlineStr"/>
    </row>
  </sheetData>
  <autoFilter ref="A1:M1"/>
  <dataValidations count="2">
    <dataValidation sqref="I2:I32" showDropDown="0" showInputMessage="0" showErrorMessage="1" allowBlank="1" errorTitle="Status Error" error="Invalid status" type="list">
      <formula1>"Pass,Fail,Blocked,Not Tested,In Progress"</formula1>
    </dataValidation>
    <dataValidation sqref="D2:D32" showDropDown="0" showInputMessage="0" showErrorMessage="1" allowBlank="1" type="list">
      <formula1>"High,Medium,Low"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0" customWidth="1" min="4" max="4"/>
    <col width="40" customWidth="1" min="5" max="5"/>
    <col width="60" customWidth="1" min="6" max="6"/>
    <col width="45" customWidth="1" min="7" max="7"/>
    <col width="45" customWidth="1" min="8" max="8"/>
    <col width="15" customWidth="1" min="9" max="9"/>
    <col width="12" customWidth="1" min="10" max="10"/>
    <col width="15" customWidth="1" min="11" max="11"/>
    <col width="15" customWidth="1" min="12" max="12"/>
    <col width="30" customWidth="1" min="13" max="13"/>
  </cols>
  <sheetData>
    <row r="1" ht="30" customHeight="1">
      <c r="A1" s="6" t="inlineStr">
        <is>
          <t>TC-ID</t>
        </is>
      </c>
      <c r="B1" s="6" t="inlineStr">
        <is>
          <t>Module</t>
        </is>
      </c>
      <c r="C1" s="6" t="inlineStr">
        <is>
          <t>Test Case Name</t>
        </is>
      </c>
      <c r="D1" s="6" t="inlineStr">
        <is>
          <t>Priority</t>
        </is>
      </c>
      <c r="E1" s="6" t="inlineStr">
        <is>
          <t>Pre-conditions</t>
        </is>
      </c>
      <c r="F1" s="6" t="inlineStr">
        <is>
          <t>Test Steps</t>
        </is>
      </c>
      <c r="G1" s="6" t="inlineStr">
        <is>
          <t>Expected Result</t>
        </is>
      </c>
      <c r="H1" s="6" t="inlineStr">
        <is>
          <t>Actual Result</t>
        </is>
      </c>
      <c r="I1" s="6" t="inlineStr">
        <is>
          <t>Status</t>
        </is>
      </c>
      <c r="J1" s="6" t="inlineStr">
        <is>
          <t>Bug-ID</t>
        </is>
      </c>
      <c r="K1" s="6" t="inlineStr">
        <is>
          <t>Tested By</t>
        </is>
      </c>
      <c r="L1" s="6" t="inlineStr">
        <is>
          <t>Tested On</t>
        </is>
      </c>
      <c r="M1" s="6" t="inlineStr">
        <is>
          <t>Notes</t>
        </is>
      </c>
    </row>
    <row r="2" ht="55" customHeight="1">
      <c r="A2" s="18" t="inlineStr">
        <is>
          <t>TC-D5-001</t>
        </is>
      </c>
      <c r="B2" s="18" t="inlineStr">
        <is>
          <t>Chat Widget</t>
        </is>
      </c>
      <c r="C2" s="18" t="inlineStr">
        <is>
          <t>Chat widget visible and opens</t>
        </is>
      </c>
      <c r="D2" s="18" t="inlineStr">
        <is>
          <t>High</t>
        </is>
      </c>
      <c r="E2" s="18" t="inlineStr">
        <is>
          <t>Logged in as EDITOR</t>
        </is>
      </c>
      <c r="F2" s="18" t="inlineStr">
        <is>
          <t>1. Navigate to any page
2. Click chat widget in bottom-right corner</t>
        </is>
      </c>
      <c r="G2" s="18" t="inlineStr">
        <is>
          <t>Chat panel opens showing conversation interface</t>
        </is>
      </c>
      <c r="H2" s="18" t="inlineStr"/>
      <c r="I2" s="18" t="inlineStr">
        <is>
          <t>Not Tested</t>
        </is>
      </c>
      <c r="J2" s="18" t="inlineStr"/>
      <c r="K2" s="18" t="inlineStr"/>
      <c r="L2" s="18" t="inlineStr"/>
      <c r="M2" s="18" t="inlineStr"/>
    </row>
    <row r="3" ht="55" customHeight="1">
      <c r="A3" s="19" t="inlineStr">
        <is>
          <t>TC-D5-002</t>
        </is>
      </c>
      <c r="B3" s="19" t="inlineStr">
        <is>
          <t>Chat Widget</t>
        </is>
      </c>
      <c r="C3" s="19" t="inlineStr">
        <is>
          <t>Chat widget minimizes</t>
        </is>
      </c>
      <c r="D3" s="19" t="inlineStr">
        <is>
          <t>Medium</t>
        </is>
      </c>
      <c r="E3" s="19" t="inlineStr">
        <is>
          <t>Chat open</t>
        </is>
      </c>
      <c r="F3" s="19" t="inlineStr">
        <is>
          <t>1. Click minimize button in chat header</t>
        </is>
      </c>
      <c r="G3" s="19" t="inlineStr">
        <is>
          <t>Chat minimized; unread badge visible if new messages</t>
        </is>
      </c>
      <c r="H3" s="19" t="inlineStr"/>
      <c r="I3" s="19" t="inlineStr">
        <is>
          <t>Not Tested</t>
        </is>
      </c>
      <c r="J3" s="19" t="inlineStr"/>
      <c r="K3" s="19" t="inlineStr"/>
      <c r="L3" s="19" t="inlineStr"/>
      <c r="M3" s="19" t="inlineStr"/>
    </row>
    <row r="4" ht="55" customHeight="1">
      <c r="A4" s="18" t="inlineStr">
        <is>
          <t>TC-D5-003</t>
        </is>
      </c>
      <c r="B4" s="18" t="inlineStr">
        <is>
          <t>Chat Widget</t>
        </is>
      </c>
      <c r="C4" s="18" t="inlineStr">
        <is>
          <t>Start new conversation</t>
        </is>
      </c>
      <c r="D4" s="18" t="inlineStr">
        <is>
          <t>High</t>
        </is>
      </c>
      <c r="E4" s="18" t="inlineStr">
        <is>
          <t>Chat open with existing history</t>
        </is>
      </c>
      <c r="F4" s="18" t="inlineStr">
        <is>
          <t>1. Click New Conversation button</t>
        </is>
      </c>
      <c r="G4" s="18" t="inlineStr">
        <is>
          <t>Previous messages cleared; fresh context started</t>
        </is>
      </c>
      <c r="H4" s="18" t="inlineStr"/>
      <c r="I4" s="18" t="inlineStr">
        <is>
          <t>Not Tested</t>
        </is>
      </c>
      <c r="J4" s="18" t="inlineStr"/>
      <c r="K4" s="18" t="inlineStr"/>
      <c r="L4" s="18" t="inlineStr"/>
      <c r="M4" s="18" t="inlineStr"/>
    </row>
    <row r="5" ht="55" customHeight="1">
      <c r="A5" s="19" t="inlineStr">
        <is>
          <t>TC-D5-004</t>
        </is>
      </c>
      <c r="B5" s="19" t="inlineStr">
        <is>
          <t>Chat Widget</t>
        </is>
      </c>
      <c r="C5" s="19" t="inlineStr">
        <is>
          <t>WebSocket connection status indicator</t>
        </is>
      </c>
      <c r="D5" s="19" t="inlineStr">
        <is>
          <t>Medium</t>
        </is>
      </c>
      <c r="E5" s="19" t="inlineStr">
        <is>
          <t>Chat open</t>
        </is>
      </c>
      <c r="F5" s="19" t="inlineStr">
        <is>
          <t>1. Open chat panel
2. Check connection status indicator</t>
        </is>
      </c>
      <c r="G5" s="19" t="inlineStr">
        <is>
          <t>Connected status shown (green indicator or similar)</t>
        </is>
      </c>
      <c r="H5" s="19" t="inlineStr"/>
      <c r="I5" s="19" t="inlineStr">
        <is>
          <t>Not Tested</t>
        </is>
      </c>
      <c r="J5" s="19" t="inlineStr"/>
      <c r="K5" s="19" t="inlineStr"/>
      <c r="L5" s="19" t="inlineStr"/>
      <c r="M5" s="19" t="inlineStr"/>
    </row>
    <row r="6" ht="55" customHeight="1">
      <c r="A6" s="18" t="inlineStr">
        <is>
          <t>TC-D5-005</t>
        </is>
      </c>
      <c r="B6" s="18" t="inlineStr">
        <is>
          <t>Chat Widget</t>
        </is>
      </c>
      <c r="C6" s="18" t="inlineStr">
        <is>
          <t>Chat disconnects gracefully on logout</t>
        </is>
      </c>
      <c r="D6" s="18" t="inlineStr">
        <is>
          <t>Medium</t>
        </is>
      </c>
      <c r="E6" s="18" t="inlineStr">
        <is>
          <t>Chat open</t>
        </is>
      </c>
      <c r="F6" s="18" t="inlineStr">
        <is>
          <t>1. Log out while chat is open</t>
        </is>
      </c>
      <c r="G6" s="18" t="inlineStr">
        <is>
          <t>WebSocket connection closed cleanly; no JS errors</t>
        </is>
      </c>
      <c r="H6" s="18" t="inlineStr"/>
      <c r="I6" s="18" t="inlineStr">
        <is>
          <t>Not Tested</t>
        </is>
      </c>
      <c r="J6" s="18" t="inlineStr"/>
      <c r="K6" s="18" t="inlineStr"/>
      <c r="L6" s="18" t="inlineStr"/>
      <c r="M6" s="18" t="inlineStr"/>
    </row>
    <row r="7" ht="55" customHeight="1">
      <c r="A7" s="19" t="inlineStr">
        <is>
          <t>TC-D5-006</t>
        </is>
      </c>
      <c r="B7" s="19" t="inlineStr">
        <is>
          <t>get_available_reports</t>
        </is>
      </c>
      <c r="C7" s="19" t="inlineStr">
        <is>
          <t>List available forecast reports</t>
        </is>
      </c>
      <c r="D7" s="19" t="inlineStr">
        <is>
          <t>High</t>
        </is>
      </c>
      <c r="E7" s="19" t="inlineStr">
        <is>
          <t>Chat open</t>
        </is>
      </c>
      <c r="F7" s="19" t="inlineStr">
        <is>
          <t>1. Type: 'What forecast data do you have?'</t>
        </is>
      </c>
      <c r="G7" s="19" t="inlineStr">
        <is>
          <t>Card shown with available report periods labeled Current/Outdated</t>
        </is>
      </c>
      <c r="H7" s="19" t="inlineStr"/>
      <c r="I7" s="19" t="inlineStr">
        <is>
          <t>Not Tested</t>
        </is>
      </c>
      <c r="J7" s="19" t="inlineStr"/>
      <c r="K7" s="19" t="inlineStr"/>
      <c r="L7" s="19" t="inlineStr"/>
      <c r="M7" s="19" t="inlineStr"/>
    </row>
    <row r="8" ht="55" customHeight="1">
      <c r="A8" s="18" t="inlineStr">
        <is>
          <t>TC-D5-007</t>
        </is>
      </c>
      <c r="B8" s="18" t="inlineStr">
        <is>
          <t>propose_data_fetch</t>
        </is>
      </c>
      <c r="C8" s="18" t="inlineStr">
        <is>
          <t>Confirmation card shown before data fetch</t>
        </is>
      </c>
      <c r="D8" s="18" t="inlineStr">
        <is>
          <t>High</t>
        </is>
      </c>
      <c r="E8" s="18" t="inlineStr">
        <is>
          <t>Chat open</t>
        </is>
      </c>
      <c r="F8" s="18" t="inlineStr">
        <is>
          <t>1. Type: 'Show forecast for March 2025'</t>
        </is>
      </c>
      <c r="G8" s="18" t="inlineStr">
        <is>
          <t>Confirmation card with month, filters, and Fetch/Cancel buttons displayed</t>
        </is>
      </c>
      <c r="H8" s="18" t="inlineStr"/>
      <c r="I8" s="18" t="inlineStr">
        <is>
          <t>Not Tested</t>
        </is>
      </c>
      <c r="J8" s="18" t="inlineStr"/>
      <c r="K8" s="18" t="inlineStr"/>
      <c r="L8" s="18" t="inlineStr"/>
      <c r="M8" s="18" t="inlineStr"/>
    </row>
    <row r="9" ht="55" customHeight="1">
      <c r="A9" s="19" t="inlineStr">
        <is>
          <t>TC-D5-008</t>
        </is>
      </c>
      <c r="B9" s="19" t="inlineStr">
        <is>
          <t>confirm_forecast_fetch</t>
        </is>
      </c>
      <c r="C9" s="19" t="inlineStr">
        <is>
          <t>Forecast table renders after confirmation</t>
        </is>
      </c>
      <c r="D9" s="19" t="inlineStr">
        <is>
          <t>High</t>
        </is>
      </c>
      <c r="E9" s="19" t="inlineStr">
        <is>
          <t>Confirmation card shown</t>
        </is>
      </c>
      <c r="F9" s="19" t="inlineStr">
        <is>
          <t>1. Click 'Yes Fetch Data' button</t>
        </is>
      </c>
      <c r="G9" s="19" t="inlineStr">
        <is>
          <t>Forecast table with multi-column headers rendered in chat</t>
        </is>
      </c>
      <c r="H9" s="19" t="inlineStr"/>
      <c r="I9" s="19" t="inlineStr">
        <is>
          <t>Not Tested</t>
        </is>
      </c>
      <c r="J9" s="19" t="inlineStr"/>
      <c r="K9" s="19" t="inlineStr"/>
      <c r="L9" s="19" t="inlineStr"/>
      <c r="M9" s="19" t="inlineStr"/>
    </row>
    <row r="10" ht="55" customHeight="1">
      <c r="A10" s="18" t="inlineStr">
        <is>
          <t>TC-D5-009</t>
        </is>
      </c>
      <c r="B10" s="18" t="inlineStr">
        <is>
          <t>get_forecast_data</t>
        </is>
      </c>
      <c r="C10" s="18" t="inlineStr">
        <is>
          <t>Filter by platform in forecast query</t>
        </is>
      </c>
      <c r="D10" s="18" t="inlineStr">
        <is>
          <t>High</t>
        </is>
      </c>
      <c r="E10" s="18" t="inlineStr">
        <is>
          <t>Forecast data loaded</t>
        </is>
      </c>
      <c r="F10" s="18" t="inlineStr">
        <is>
          <t>1. Type: 'Show data for Amisys platform'</t>
        </is>
      </c>
      <c r="G10" s="18" t="inlineStr">
        <is>
          <t>Data filtered to Amisys platform only</t>
        </is>
      </c>
      <c r="H10" s="18" t="inlineStr"/>
      <c r="I10" s="18" t="inlineStr">
        <is>
          <t>Not Tested</t>
        </is>
      </c>
      <c r="J10" s="18" t="inlineStr"/>
      <c r="K10" s="18" t="inlineStr"/>
      <c r="L10" s="18" t="inlineStr"/>
      <c r="M10" s="18" t="inlineStr"/>
    </row>
    <row r="11" ht="55" customHeight="1">
      <c r="A11" s="19" t="inlineStr">
        <is>
          <t>TC-D5-010</t>
        </is>
      </c>
      <c r="B11" s="19" t="inlineStr">
        <is>
          <t>get_forecast_data</t>
        </is>
      </c>
      <c r="C11" s="19" t="inlineStr">
        <is>
          <t>Filter by state in forecast query</t>
        </is>
      </c>
      <c r="D11" s="19" t="inlineStr">
        <is>
          <t>High</t>
        </is>
      </c>
      <c r="E11" s="19" t="inlineStr">
        <is>
          <t>Forecast data loaded</t>
        </is>
      </c>
      <c r="F11" s="19" t="inlineStr">
        <is>
          <t>1. Type: 'Show data for California only'</t>
        </is>
      </c>
      <c r="G11" s="19" t="inlineStr">
        <is>
          <t>Data filtered to CA state only</t>
        </is>
      </c>
      <c r="H11" s="19" t="inlineStr"/>
      <c r="I11" s="19" t="inlineStr">
        <is>
          <t>Not Tested</t>
        </is>
      </c>
      <c r="J11" s="19" t="inlineStr"/>
      <c r="K11" s="19" t="inlineStr"/>
      <c r="L11" s="19" t="inlineStr"/>
      <c r="M11" s="19" t="inlineStr"/>
    </row>
    <row r="12" ht="55" customHeight="1">
      <c r="A12" s="18" t="inlineStr">
        <is>
          <t>TC-D5-011</t>
        </is>
      </c>
      <c r="B12" s="18" t="inlineStr">
        <is>
          <t>get_forecast_data</t>
        </is>
      </c>
      <c r="C12" s="18" t="inlineStr">
        <is>
          <t>Show totals only option</t>
        </is>
      </c>
      <c r="D12" s="18" t="inlineStr">
        <is>
          <t>Medium</t>
        </is>
      </c>
      <c r="E12" s="18" t="inlineStr">
        <is>
          <t>Forecast data loaded</t>
        </is>
      </c>
      <c r="F12" s="18" t="inlineStr">
        <is>
          <t>1. Type: 'Show totals for March'</t>
        </is>
      </c>
      <c r="G12" s="18" t="inlineStr">
        <is>
          <t>Only aggregated totals row shown (not individual records)</t>
        </is>
      </c>
      <c r="H12" s="18" t="inlineStr"/>
      <c r="I12" s="18" t="inlineStr">
        <is>
          <t>Not Tested</t>
        </is>
      </c>
      <c r="J12" s="18" t="inlineStr"/>
      <c r="K12" s="18" t="inlineStr"/>
      <c r="L12" s="18" t="inlineStr"/>
      <c r="M12" s="18" t="inlineStr"/>
    </row>
    <row r="13" ht="55" customHeight="1">
      <c r="A13" s="19" t="inlineStr">
        <is>
          <t>TC-D5-012</t>
        </is>
      </c>
      <c r="B13" s="19" t="inlineStr">
        <is>
          <t>get_forecast_data</t>
        </is>
      </c>
      <c r="C13" s="19" t="inlineStr">
        <is>
          <t>Gap column is color-coded</t>
        </is>
      </c>
      <c r="D13" s="19" t="inlineStr">
        <is>
          <t>High</t>
        </is>
      </c>
      <c r="E13" s="19" t="inlineStr">
        <is>
          <t>Forecast table rendered in chat</t>
        </is>
      </c>
      <c r="F13" s="19" t="inlineStr">
        <is>
          <t>1. Load forecast table
2. Check Gap column values</t>
        </is>
      </c>
      <c r="G13" s="19" t="inlineStr">
        <is>
          <t>Negative gap = red background; positive gap = green background</t>
        </is>
      </c>
      <c r="H13" s="19" t="inlineStr"/>
      <c r="I13" s="19" t="inlineStr">
        <is>
          <t>Not Tested</t>
        </is>
      </c>
      <c r="J13" s="19" t="inlineStr"/>
      <c r="K13" s="19" t="inlineStr"/>
      <c r="L13" s="19" t="inlineStr"/>
      <c r="M13" s="19" t="inlineStr"/>
    </row>
    <row r="14" ht="55" customHeight="1">
      <c r="A14" s="18" t="inlineStr">
        <is>
          <t>TC-D5-013</t>
        </is>
      </c>
      <c r="B14" s="18" t="inlineStr">
        <is>
          <t>get_fte_details</t>
        </is>
      </c>
      <c r="C14" s="18" t="inlineStr">
        <is>
          <t>FTE details for selected row</t>
        </is>
      </c>
      <c r="D14" s="18" t="inlineStr">
        <is>
          <t>High</t>
        </is>
      </c>
      <c r="E14" s="18" t="inlineStr">
        <is>
          <t>Forecast table shown with row selected</t>
        </is>
      </c>
      <c r="F14" s="18" t="inlineStr">
        <is>
          <t>1. Click a forecast row to select it
2. Type: 'Show FTE details'</t>
        </is>
      </c>
      <c r="G14" s="18" t="inlineStr">
        <is>
          <t>FTE breakdown card with monthly components shown</t>
        </is>
      </c>
      <c r="H14" s="18" t="inlineStr"/>
      <c r="I14" s="18" t="inlineStr">
        <is>
          <t>Not Tested</t>
        </is>
      </c>
      <c r="J14" s="18" t="inlineStr"/>
      <c r="K14" s="18" t="inlineStr"/>
      <c r="L14" s="18" t="inlineStr"/>
      <c r="M14" s="18" t="inlineStr"/>
    </row>
    <row r="15" ht="55" customHeight="1">
      <c r="A15" s="19" t="inlineStr">
        <is>
          <t>TC-D5-014</t>
        </is>
      </c>
      <c r="B15" s="19" t="inlineStr">
        <is>
          <t>update_filters</t>
        </is>
      </c>
      <c r="C15" s="19" t="inlineStr">
        <is>
          <t>Extend filters (add to existing)</t>
        </is>
      </c>
      <c r="D15" s="19" t="inlineStr">
        <is>
          <t>High</t>
        </is>
      </c>
      <c r="E15" s="19" t="inlineStr">
        <is>
          <t>Some filters already set</t>
        </is>
      </c>
      <c r="F15" s="19" t="inlineStr">
        <is>
          <t>1. Type: 'Also show Texas data'</t>
        </is>
      </c>
      <c r="G15" s="19" t="inlineStr">
        <is>
          <t>TX state added to existing state filters (extend operation)</t>
        </is>
      </c>
      <c r="H15" s="19" t="inlineStr"/>
      <c r="I15" s="19" t="inlineStr">
        <is>
          <t>Not Tested</t>
        </is>
      </c>
      <c r="J15" s="19" t="inlineStr"/>
      <c r="K15" s="19" t="inlineStr"/>
      <c r="L15" s="19" t="inlineStr"/>
      <c r="M15" s="19" t="inlineStr"/>
    </row>
    <row r="16" ht="55" customHeight="1">
      <c r="A16" s="18" t="inlineStr">
        <is>
          <t>TC-D5-015</t>
        </is>
      </c>
      <c r="B16" s="18" t="inlineStr">
        <is>
          <t>update_filters</t>
        </is>
      </c>
      <c r="C16" s="18" t="inlineStr">
        <is>
          <t>Replace filters (overwrite existing)</t>
        </is>
      </c>
      <c r="D16" s="18" t="inlineStr">
        <is>
          <t>High</t>
        </is>
      </c>
      <c r="E16" s="18" t="inlineStr">
        <is>
          <t>Filters set</t>
        </is>
      </c>
      <c r="F16" s="18" t="inlineStr">
        <is>
          <t>1. Type: 'Show only Florida data'</t>
        </is>
      </c>
      <c r="G16" s="18" t="inlineStr">
        <is>
          <t>All state filters replaced with FL only (replace operation)</t>
        </is>
      </c>
      <c r="H16" s="18" t="inlineStr"/>
      <c r="I16" s="18" t="inlineStr">
        <is>
          <t>Not Tested</t>
        </is>
      </c>
      <c r="J16" s="18" t="inlineStr"/>
      <c r="K16" s="18" t="inlineStr"/>
      <c r="L16" s="18" t="inlineStr"/>
      <c r="M16" s="18" t="inlineStr"/>
    </row>
    <row r="17" ht="55" customHeight="1">
      <c r="A17" s="19" t="inlineStr">
        <is>
          <t>TC-D5-016</t>
        </is>
      </c>
      <c r="B17" s="19" t="inlineStr">
        <is>
          <t>update_filters</t>
        </is>
      </c>
      <c r="C17" s="19" t="inlineStr">
        <is>
          <t>Reset all filters</t>
        </is>
      </c>
      <c r="D17" s="19" t="inlineStr">
        <is>
          <t>Medium</t>
        </is>
      </c>
      <c r="E17" s="19" t="inlineStr">
        <is>
          <t>Filters set</t>
        </is>
      </c>
      <c r="F17" s="19" t="inlineStr">
        <is>
          <t>1. Type: 'Reset filters'</t>
        </is>
      </c>
      <c r="G17" s="19" t="inlineStr">
        <is>
          <t>All filters cleared except month/year context</t>
        </is>
      </c>
      <c r="H17" s="19" t="inlineStr"/>
      <c r="I17" s="19" t="inlineStr">
        <is>
          <t>Not Tested</t>
        </is>
      </c>
      <c r="J17" s="19" t="inlineStr"/>
      <c r="K17" s="19" t="inlineStr"/>
      <c r="L17" s="19" t="inlineStr"/>
      <c r="M17" s="19" t="inlineStr"/>
    </row>
    <row r="18" ht="55" customHeight="1">
      <c r="A18" s="18" t="inlineStr">
        <is>
          <t>TC-D5-017</t>
        </is>
      </c>
      <c r="B18" s="18" t="inlineStr">
        <is>
          <t>clear_context</t>
        </is>
      </c>
      <c r="C18" s="18" t="inlineStr">
        <is>
          <t>Full context clear</t>
        </is>
      </c>
      <c r="D18" s="18" t="inlineStr">
        <is>
          <t>High</t>
        </is>
      </c>
      <c r="E18" s="18" t="inlineStr">
        <is>
          <t>Context has filters and selected row</t>
        </is>
      </c>
      <c r="F18" s="18" t="inlineStr">
        <is>
          <t>1. Type: 'Clear everything'</t>
        </is>
      </c>
      <c r="G18" s="18" t="inlineStr">
        <is>
          <t>All filters, selected row, and cached data cleared from context</t>
        </is>
      </c>
      <c r="H18" s="18" t="inlineStr"/>
      <c r="I18" s="18" t="inlineStr">
        <is>
          <t>Not Tested</t>
        </is>
      </c>
      <c r="J18" s="18" t="inlineStr"/>
      <c r="K18" s="18" t="inlineStr"/>
      <c r="L18" s="18" t="inlineStr"/>
      <c r="M18" s="18" t="inlineStr"/>
    </row>
    <row r="19" ht="55" customHeight="1">
      <c r="A19" s="19" t="inlineStr">
        <is>
          <t>TC-D5-018</t>
        </is>
      </c>
      <c r="B19" s="19" t="inlineStr">
        <is>
          <t>preview_cph_change</t>
        </is>
      </c>
      <c r="C19" s="19" t="inlineStr">
        <is>
          <t>Preview CPH set_to operation</t>
        </is>
      </c>
      <c r="D19" s="19" t="inlineStr">
        <is>
          <t>High</t>
        </is>
      </c>
      <c r="E19" s="19" t="inlineStr">
        <is>
          <t>Forecast row selected in chat</t>
        </is>
      </c>
      <c r="F19" s="19" t="inlineStr">
        <is>
          <t>1. Select row
2. Type: 'Change CPH to 50'</t>
        </is>
      </c>
      <c r="G19" s="19" t="inlineStr">
        <is>
          <t>Preview card with old→new CPH and per-month impact shown</t>
        </is>
      </c>
      <c r="H19" s="19" t="inlineStr"/>
      <c r="I19" s="19" t="inlineStr">
        <is>
          <t>Not Tested</t>
        </is>
      </c>
      <c r="J19" s="19" t="inlineStr"/>
      <c r="K19" s="19" t="inlineStr"/>
      <c r="L19" s="19" t="inlineStr"/>
      <c r="M19" s="19" t="inlineStr"/>
    </row>
    <row r="20" ht="55" customHeight="1">
      <c r="A20" s="18" t="inlineStr">
        <is>
          <t>TC-D5-019</t>
        </is>
      </c>
      <c r="B20" s="18" t="inlineStr">
        <is>
          <t>preview_cph_change</t>
        </is>
      </c>
      <c r="C20" s="18" t="inlineStr">
        <is>
          <t>Preview CPH increase by percentage</t>
        </is>
      </c>
      <c r="D20" s="18" t="inlineStr">
        <is>
          <t>High</t>
        </is>
      </c>
      <c r="E20" s="18" t="inlineStr">
        <is>
          <t>Row selected</t>
        </is>
      </c>
      <c r="F20" s="18" t="inlineStr">
        <is>
          <t>1. Type: 'Increase CPH by 10%'</t>
        </is>
      </c>
      <c r="G20" s="18" t="inlineStr">
        <is>
          <t>Preview showing 10% increase calculation and new values</t>
        </is>
      </c>
      <c r="H20" s="18" t="inlineStr"/>
      <c r="I20" s="18" t="inlineStr">
        <is>
          <t>Not Tested</t>
        </is>
      </c>
      <c r="J20" s="18" t="inlineStr"/>
      <c r="K20" s="18" t="inlineStr"/>
      <c r="L20" s="18" t="inlineStr"/>
      <c r="M20" s="18" t="inlineStr"/>
    </row>
    <row r="21" ht="55" customHeight="1">
      <c r="A21" s="19" t="inlineStr">
        <is>
          <t>TC-D5-020</t>
        </is>
      </c>
      <c r="B21" s="19" t="inlineStr">
        <is>
          <t>preview_cph_change</t>
        </is>
      </c>
      <c r="C21" s="19" t="inlineStr">
        <is>
          <t>Preview CPH decrease by percentage</t>
        </is>
      </c>
      <c r="D21" s="19" t="inlineStr">
        <is>
          <t>Medium</t>
        </is>
      </c>
      <c r="E21" s="19" t="inlineStr">
        <is>
          <t>Row selected</t>
        </is>
      </c>
      <c r="F21" s="19" t="inlineStr">
        <is>
          <t>1. Type: 'Decrease CPH by 5%'</t>
        </is>
      </c>
      <c r="G21" s="19" t="inlineStr">
        <is>
          <t>Preview showing 5% decrease calculation</t>
        </is>
      </c>
      <c r="H21" s="19" t="inlineStr"/>
      <c r="I21" s="19" t="inlineStr">
        <is>
          <t>Not Tested</t>
        </is>
      </c>
      <c r="J21" s="19" t="inlineStr"/>
      <c r="K21" s="19" t="inlineStr"/>
      <c r="L21" s="19" t="inlineStr"/>
      <c r="M21" s="19" t="inlineStr"/>
    </row>
    <row r="22" ht="55" customHeight="1">
      <c r="A22" s="18" t="inlineStr">
        <is>
          <t>TC-D5-021</t>
        </is>
      </c>
      <c r="B22" s="18" t="inlineStr">
        <is>
          <t>preview_cph_change</t>
        </is>
      </c>
      <c r="C22" s="18" t="inlineStr">
        <is>
          <t>CPH validation: negative value rejected</t>
        </is>
      </c>
      <c r="D22" s="18" t="inlineStr">
        <is>
          <t>High</t>
        </is>
      </c>
      <c r="E22" s="18" t="inlineStr">
        <is>
          <t>Row selected</t>
        </is>
      </c>
      <c r="F22" s="18" t="inlineStr">
        <is>
          <t>1. Type: 'Set CPH to -10'</t>
        </is>
      </c>
      <c r="G22" s="18" t="inlineStr">
        <is>
          <t>Error card: CPH must be a positive number</t>
        </is>
      </c>
      <c r="H22" s="18" t="inlineStr"/>
      <c r="I22" s="18" t="inlineStr">
        <is>
          <t>Not Tested</t>
        </is>
      </c>
      <c r="J22" s="18" t="inlineStr"/>
      <c r="K22" s="18" t="inlineStr"/>
      <c r="L22" s="18" t="inlineStr"/>
      <c r="M22" s="18" t="inlineStr"/>
    </row>
    <row r="23" ht="55" customHeight="1">
      <c r="A23" s="19" t="inlineStr">
        <is>
          <t>TC-D5-022</t>
        </is>
      </c>
      <c r="B23" s="19" t="inlineStr">
        <is>
          <t>confirm_cph_update</t>
        </is>
      </c>
      <c r="C23" s="19" t="inlineStr">
        <is>
          <t>CPH change applied after confirmation</t>
        </is>
      </c>
      <c r="D23" s="19" t="inlineStr">
        <is>
          <t>High</t>
        </is>
      </c>
      <c r="E23" s="19" t="inlineStr">
        <is>
          <t>CPH preview card shown</t>
        </is>
      </c>
      <c r="F23" s="19" t="inlineStr">
        <is>
          <t>1. Click Confirm Change button in preview card</t>
        </is>
      </c>
      <c r="G23" s="19" t="inlineStr">
        <is>
          <t>Success card: CPH changed from X to Y; data refreshed</t>
        </is>
      </c>
      <c r="H23" s="19" t="inlineStr"/>
      <c r="I23" s="19" t="inlineStr">
        <is>
          <t>Not Tested</t>
        </is>
      </c>
      <c r="J23" s="19" t="inlineStr"/>
      <c r="K23" s="19" t="inlineStr"/>
      <c r="L23" s="19" t="inlineStr"/>
      <c r="M23" s="19" t="inlineStr"/>
    </row>
    <row r="24" ht="55" customHeight="1">
      <c r="A24" s="18" t="inlineStr">
        <is>
          <t>TC-D5-023</t>
        </is>
      </c>
      <c r="B24" s="18" t="inlineStr">
        <is>
          <t>setup_ramp_calculation</t>
        </is>
      </c>
      <c r="C24" s="18" t="inlineStr">
        <is>
          <t>Ramp trigger card displayed</t>
        </is>
      </c>
      <c r="D24" s="18" t="inlineStr">
        <is>
          <t>High</t>
        </is>
      </c>
      <c r="E24" s="18" t="inlineStr">
        <is>
          <t>Forecast row selected in chat</t>
        </is>
      </c>
      <c r="F24" s="18" t="inlineStr">
        <is>
          <t>1. Select a row
2. Type: 'Set up ramp for March 2026'</t>
        </is>
      </c>
      <c r="G24" s="18" t="inlineStr">
        <is>
          <t>Ramp trigger card with week count and Configure Ramp button shown</t>
        </is>
      </c>
      <c r="H24" s="18" t="inlineStr"/>
      <c r="I24" s="18" t="inlineStr">
        <is>
          <t>Not Tested</t>
        </is>
      </c>
      <c r="J24" s="18" t="inlineStr"/>
      <c r="K24" s="18" t="inlineStr"/>
      <c r="L24" s="18" t="inlineStr"/>
      <c r="M24" s="18" t="inlineStr"/>
    </row>
    <row r="25" ht="55" customHeight="1">
      <c r="A25" s="19" t="inlineStr">
        <is>
          <t>TC-D5-024</t>
        </is>
      </c>
      <c r="B25" s="19" t="inlineStr">
        <is>
          <t>Ramp Modal</t>
        </is>
      </c>
      <c r="C25" s="19" t="inlineStr">
        <is>
          <t>Ramp configuration modal opens</t>
        </is>
      </c>
      <c r="D25" s="19" t="inlineStr">
        <is>
          <t>High</t>
        </is>
      </c>
      <c r="E25" s="19" t="inlineStr">
        <is>
          <t>Ramp trigger card shown</t>
        </is>
      </c>
      <c r="F25" s="19" t="inlineStr">
        <is>
          <t>1. Click Configure Ramp button</t>
        </is>
      </c>
      <c r="G25" s="19" t="inlineStr">
        <is>
          <t>Modal opens with week table (Week 1-4 with working days pre-filled)</t>
        </is>
      </c>
      <c r="H25" s="19" t="inlineStr"/>
      <c r="I25" s="19" t="inlineStr">
        <is>
          <t>Not Tested</t>
        </is>
      </c>
      <c r="J25" s="19" t="inlineStr"/>
      <c r="K25" s="19" t="inlineStr"/>
      <c r="L25" s="19" t="inlineStr"/>
      <c r="M25" s="19" t="inlineStr"/>
    </row>
    <row r="26" ht="55" customHeight="1">
      <c r="A26" s="18" t="inlineStr">
        <is>
          <t>TC-D5-025</t>
        </is>
      </c>
      <c r="B26" s="18" t="inlineStr">
        <is>
          <t>Ramp Submit</t>
        </is>
      </c>
      <c r="C26" s="18" t="inlineStr">
        <is>
          <t>Submit ramp week data</t>
        </is>
      </c>
      <c r="D26" s="18" t="inlineStr">
        <is>
          <t>High</t>
        </is>
      </c>
      <c r="E26" s="18" t="inlineStr">
        <is>
          <t>Ramp modal open</t>
        </is>
      </c>
      <c r="F26" s="18" t="inlineStr">
        <is>
          <t>1. Fill rampPercent and rampEmployees per week
2. Click Submit</t>
        </is>
      </c>
      <c r="G26" s="18" t="inlineStr">
        <is>
          <t>Ramp confirmation card with per-week summary table shown</t>
        </is>
      </c>
      <c r="H26" s="18" t="inlineStr"/>
      <c r="I26" s="18" t="inlineStr">
        <is>
          <t>Not Tested</t>
        </is>
      </c>
      <c r="J26" s="18" t="inlineStr"/>
      <c r="K26" s="18" t="inlineStr"/>
      <c r="L26" s="18" t="inlineStr"/>
      <c r="M26" s="18" t="inlineStr"/>
    </row>
    <row r="27" ht="55" customHeight="1">
      <c r="A27" s="19" t="inlineStr">
        <is>
          <t>TC-D5-026</t>
        </is>
      </c>
      <c r="B27" s="19" t="inlineStr">
        <is>
          <t>Ramp Preview</t>
        </is>
      </c>
      <c r="C27" s="19" t="inlineStr">
        <is>
          <t>Confirm ramp to get preview diff</t>
        </is>
      </c>
      <c r="D27" s="19" t="inlineStr">
        <is>
          <t>High</t>
        </is>
      </c>
      <c r="E27" s="19" t="inlineStr">
        <is>
          <t>Ramp confirmation card shown</t>
        </is>
      </c>
      <c r="F27" s="19" t="inlineStr">
        <is>
          <t>1. Click Yes Proceed button</t>
        </is>
      </c>
      <c r="G27" s="19" t="inlineStr">
        <is>
          <t>Ramp preview card with Current vs Projected vs Change columns shown</t>
        </is>
      </c>
      <c r="H27" s="19" t="inlineStr"/>
      <c r="I27" s="19" t="inlineStr">
        <is>
          <t>Not Tested</t>
        </is>
      </c>
      <c r="J27" s="19" t="inlineStr"/>
      <c r="K27" s="19" t="inlineStr"/>
      <c r="L27" s="19" t="inlineStr"/>
      <c r="M27" s="19" t="inlineStr"/>
    </row>
    <row r="28" ht="55" customHeight="1">
      <c r="A28" s="18" t="inlineStr">
        <is>
          <t>TC-D5-027</t>
        </is>
      </c>
      <c r="B28" s="18" t="inlineStr">
        <is>
          <t>Ramp Apply</t>
        </is>
      </c>
      <c r="C28" s="18" t="inlineStr">
        <is>
          <t>Apply ramp successfully</t>
        </is>
      </c>
      <c r="D28" s="18" t="inlineStr">
        <is>
          <t>High</t>
        </is>
      </c>
      <c r="E28" s="18" t="inlineStr">
        <is>
          <t>Ramp preview card shown</t>
        </is>
      </c>
      <c r="F28" s="18" t="inlineStr">
        <is>
          <t>1. Click Confirm Apply button</t>
        </is>
      </c>
      <c r="G28" s="18" t="inlineStr">
        <is>
          <t>Success card 'Ramp Applied Successfully'; ramp state cleared from context</t>
        </is>
      </c>
      <c r="H28" s="18" t="inlineStr"/>
      <c r="I28" s="18" t="inlineStr">
        <is>
          <t>Not Tested</t>
        </is>
      </c>
      <c r="J28" s="18" t="inlineStr"/>
      <c r="K28" s="18" t="inlineStr"/>
      <c r="L28" s="18" t="inlineStr"/>
      <c r="M28" s="18" t="inlineStr"/>
    </row>
    <row r="29" ht="55" customHeight="1">
      <c r="A29" s="19" t="inlineStr">
        <is>
          <t>TC-D5-028</t>
        </is>
      </c>
      <c r="B29" s="19" t="inlineStr">
        <is>
          <t>Ramp Validation</t>
        </is>
      </c>
      <c r="C29" s="19" t="inlineStr">
        <is>
          <t>Invalid ramp percentage rejected</t>
        </is>
      </c>
      <c r="D29" s="19" t="inlineStr">
        <is>
          <t>Medium</t>
        </is>
      </c>
      <c r="E29" s="19" t="inlineStr">
        <is>
          <t>Ramp modal open</t>
        </is>
      </c>
      <c r="F29" s="19" t="inlineStr">
        <is>
          <t>1. Enter rampPercent = 150 (over 100)
2. Click Submit</t>
        </is>
      </c>
      <c r="G29" s="19" t="inlineStr">
        <is>
          <t>Validation error: ramp% must be between 0 and 100</t>
        </is>
      </c>
      <c r="H29" s="19" t="inlineStr"/>
      <c r="I29" s="19" t="inlineStr">
        <is>
          <t>Not Tested</t>
        </is>
      </c>
      <c r="J29" s="19" t="inlineStr"/>
      <c r="K29" s="19" t="inlineStr"/>
      <c r="L29" s="19" t="inlineStr"/>
      <c r="M29" s="19" t="inlineStr"/>
    </row>
    <row r="30" ht="55" customHeight="1">
      <c r="A30" s="18" t="inlineStr">
        <is>
          <t>TC-D5-029</t>
        </is>
      </c>
      <c r="B30" s="18" t="inlineStr">
        <is>
          <t>get_applied_ramp</t>
        </is>
      </c>
      <c r="C30" s="18" t="inlineStr">
        <is>
          <t>Show existing applied ramps</t>
        </is>
      </c>
      <c r="D30" s="18" t="inlineStr">
        <is>
          <t>High</t>
        </is>
      </c>
      <c r="E30" s="18" t="inlineStr">
        <is>
          <t>Ramps previously applied for a row</t>
        </is>
      </c>
      <c r="F30" s="18" t="inlineStr">
        <is>
          <t>1. Select row
2. Type: 'Show ramp for March 2026'</t>
        </is>
      </c>
      <c r="G30" s="18" t="inlineStr">
        <is>
          <t>Ramp list card with ramp names, peak employees, and Show Data button</t>
        </is>
      </c>
      <c r="H30" s="18" t="inlineStr"/>
      <c r="I30" s="18" t="inlineStr">
        <is>
          <t>Not Tested</t>
        </is>
      </c>
      <c r="J30" s="18" t="inlineStr"/>
      <c r="K30" s="18" t="inlineStr"/>
      <c r="L30" s="18" t="inlineStr"/>
      <c r="M30" s="18" t="inlineStr"/>
    </row>
    <row r="31" ht="55" customHeight="1">
      <c r="A31" s="19" t="inlineStr">
        <is>
          <t>TC-D5-030</t>
        </is>
      </c>
      <c r="B31" s="19" t="inlineStr">
        <is>
          <t>Bulk Ramp Modal</t>
        </is>
      </c>
      <c r="C31" s="19" t="inlineStr">
        <is>
          <t>Bulk edit modal opens from ramp list</t>
        </is>
      </c>
      <c r="D31" s="19" t="inlineStr">
        <is>
          <t>High</t>
        </is>
      </c>
      <c r="E31" s="19" t="inlineStr">
        <is>
          <t>Ramp list card shown</t>
        </is>
      </c>
      <c r="F31" s="19" t="inlineStr">
        <is>
          <t>1. Click Show Data button in ramp list card</t>
        </is>
      </c>
      <c r="G31" s="19" t="inlineStr">
        <is>
          <t>Bulk edit modal opens with all existing ramps in editable table</t>
        </is>
      </c>
      <c r="H31" s="19" t="inlineStr"/>
      <c r="I31" s="19" t="inlineStr">
        <is>
          <t>Not Tested</t>
        </is>
      </c>
      <c r="J31" s="19" t="inlineStr"/>
      <c r="K31" s="19" t="inlineStr"/>
      <c r="L31" s="19" t="inlineStr"/>
      <c r="M31" s="19" t="inlineStr"/>
    </row>
    <row r="32" ht="55" customHeight="1">
      <c r="A32" s="18" t="inlineStr">
        <is>
          <t>TC-D5-031</t>
        </is>
      </c>
      <c r="B32" s="18" t="inlineStr">
        <is>
          <t>Bulk Ramp Submit</t>
        </is>
      </c>
      <c r="C32" s="18" t="inlineStr">
        <is>
          <t>Submit edited bulk ramps</t>
        </is>
      </c>
      <c r="D32" s="18" t="inlineStr">
        <is>
          <t>High</t>
        </is>
      </c>
      <c r="E32" s="18" t="inlineStr">
        <is>
          <t>Bulk modal open with edits made</t>
        </is>
      </c>
      <c r="F32" s="18" t="inlineStr">
        <is>
          <t>1. Modify ramp values
2. Click Submit</t>
        </is>
      </c>
      <c r="G32" s="18" t="inlineStr">
        <is>
          <t>Bulk confirmation card with ramp-by-ramp summary shown</t>
        </is>
      </c>
      <c r="H32" s="18" t="inlineStr"/>
      <c r="I32" s="18" t="inlineStr">
        <is>
          <t>Not Tested</t>
        </is>
      </c>
      <c r="J32" s="18" t="inlineStr"/>
      <c r="K32" s="18" t="inlineStr"/>
      <c r="L32" s="18" t="inlineStr"/>
      <c r="M32" s="18" t="inlineStr"/>
    </row>
    <row r="33" ht="55" customHeight="1">
      <c r="A33" s="19" t="inlineStr">
        <is>
          <t>TC-D5-032</t>
        </is>
      </c>
      <c r="B33" s="19" t="inlineStr">
        <is>
          <t>Bulk Ramp Preview</t>
        </is>
      </c>
      <c r="C33" s="19" t="inlineStr">
        <is>
          <t>Bulk ramp preview diff</t>
        </is>
      </c>
      <c r="D33" s="19" t="inlineStr">
        <is>
          <t>High</t>
        </is>
      </c>
      <c r="E33" s="19" t="inlineStr">
        <is>
          <t>Bulk confirmation card shown</t>
        </is>
      </c>
      <c r="F33" s="19" t="inlineStr">
        <is>
          <t>1. Click Yes Preview Changes</t>
        </is>
      </c>
      <c r="G33" s="19" t="inlineStr">
        <is>
          <t>Bulk preview card: Before/After/Change for FTE and Capacity</t>
        </is>
      </c>
      <c r="H33" s="19" t="inlineStr"/>
      <c r="I33" s="19" t="inlineStr">
        <is>
          <t>Not Tested</t>
        </is>
      </c>
      <c r="J33" s="19" t="inlineStr"/>
      <c r="K33" s="19" t="inlineStr"/>
      <c r="L33" s="19" t="inlineStr"/>
      <c r="M33" s="19" t="inlineStr"/>
    </row>
    <row r="34" ht="55" customHeight="1">
      <c r="A34" s="18" t="inlineStr">
        <is>
          <t>TC-D5-033</t>
        </is>
      </c>
      <c r="B34" s="18" t="inlineStr">
        <is>
          <t>Bulk Ramp Apply</t>
        </is>
      </c>
      <c r="C34" s="18" t="inlineStr">
        <is>
          <t>Bulk apply with partial success handling</t>
        </is>
      </c>
      <c r="D34" s="18" t="inlineStr">
        <is>
          <t>High</t>
        </is>
      </c>
      <c r="E34" s="18" t="inlineStr">
        <is>
          <t>Bulk preview card shown</t>
        </is>
      </c>
      <c r="F34" s="18" t="inlineStr">
        <is>
          <t>1. Click Confirm Apply</t>
        </is>
      </c>
      <c r="G34" s="18" t="inlineStr">
        <is>
          <t>Result card shows: applied count, failed count, error reasons for any failures</t>
        </is>
      </c>
      <c r="H34" s="18" t="inlineStr"/>
      <c r="I34" s="18" t="inlineStr">
        <is>
          <t>Not Tested</t>
        </is>
      </c>
      <c r="J34" s="18" t="inlineStr"/>
      <c r="K34" s="18" t="inlineStr"/>
      <c r="L34" s="18" t="inlineStr"/>
      <c r="M34" s="18" t="inlineStr"/>
    </row>
    <row r="35" ht="55" customHeight="1">
      <c r="A35" s="19" t="inlineStr">
        <is>
          <t>TC-D5-034</t>
        </is>
      </c>
      <c r="B35" s="19" t="inlineStr">
        <is>
          <t>setup_ramp_campaign</t>
        </is>
      </c>
      <c r="C35" s="19" t="inlineStr">
        <is>
          <t>Campaign entry card shown</t>
        </is>
      </c>
      <c r="D35" s="19" t="inlineStr">
        <is>
          <t>High</t>
        </is>
      </c>
      <c r="E35" s="19" t="inlineStr">
        <is>
          <t>Forecast data loaded in chat context</t>
        </is>
      </c>
      <c r="F35" s="19" t="inlineStr">
        <is>
          <t>1. Type: 'Open campaign manager'</t>
        </is>
      </c>
      <c r="G35" s="19" t="inlineStr">
        <is>
          <t>Campaign entry card with LOB count, months count, Open Campaign Manager button</t>
        </is>
      </c>
      <c r="H35" s="19" t="inlineStr"/>
      <c r="I35" s="19" t="inlineStr">
        <is>
          <t>Not Tested</t>
        </is>
      </c>
      <c r="J35" s="19" t="inlineStr"/>
      <c r="K35" s="19" t="inlineStr"/>
      <c r="L35" s="19" t="inlineStr"/>
      <c r="M35" s="19" t="inlineStr"/>
    </row>
    <row r="36" ht="55" customHeight="1">
      <c r="A36" s="18" t="inlineStr">
        <is>
          <t>TC-D5-035</t>
        </is>
      </c>
      <c r="B36" s="18" t="inlineStr">
        <is>
          <t>Campaign Modal</t>
        </is>
      </c>
      <c r="C36" s="18" t="inlineStr">
        <is>
          <t>Campaign manager modal opens in Entry view</t>
        </is>
      </c>
      <c r="D36" s="18" t="inlineStr">
        <is>
          <t>High</t>
        </is>
      </c>
      <c r="E36" s="18" t="inlineStr">
        <is>
          <t>Campaign entry card shown</t>
        </is>
      </c>
      <c r="F36" s="18" t="inlineStr">
        <is>
          <t>1. Click Open Campaign Manager button</t>
        </is>
      </c>
      <c r="G36" s="18" t="inlineStr">
        <is>
          <t>Campaign modal opens in Entry view showing LOB/month grid</t>
        </is>
      </c>
      <c r="H36" s="18" t="inlineStr"/>
      <c r="I36" s="18" t="inlineStr">
        <is>
          <t>Not Tested</t>
        </is>
      </c>
      <c r="J36" s="18" t="inlineStr"/>
      <c r="K36" s="18" t="inlineStr"/>
      <c r="L36" s="18" t="inlineStr"/>
      <c r="M36" s="18" t="inlineStr"/>
    </row>
    <row r="37" ht="55" customHeight="1">
      <c r="A37" s="19" t="inlineStr">
        <is>
          <t>TC-D5-036</t>
        </is>
      </c>
      <c r="B37" s="19" t="inlineStr">
        <is>
          <t>Campaign Stage</t>
        </is>
      </c>
      <c r="C37" s="19" t="inlineStr">
        <is>
          <t>Stage LOBs and months for campaign</t>
        </is>
      </c>
      <c r="D37" s="19" t="inlineStr">
        <is>
          <t>High</t>
        </is>
      </c>
      <c r="E37" s="19" t="inlineStr">
        <is>
          <t>Campaign modal in Entry view</t>
        </is>
      </c>
      <c r="F37" s="19" t="inlineStr">
        <is>
          <t>1. Select LOBs and months
2. Fill ramp data per combo
3. Click Submit All</t>
        </is>
      </c>
      <c r="G37" s="19" t="inlineStr">
        <is>
          <t>Preview view shows staged rows with parallel API preview results</t>
        </is>
      </c>
      <c r="H37" s="19" t="inlineStr"/>
      <c r="I37" s="19" t="inlineStr">
        <is>
          <t>Not Tested</t>
        </is>
      </c>
      <c r="J37" s="19" t="inlineStr"/>
      <c r="K37" s="19" t="inlineStr"/>
      <c r="L37" s="19" t="inlineStr"/>
      <c r="M37" s="19" t="inlineStr"/>
    </row>
    <row r="38" ht="55" customHeight="1">
      <c r="A38" s="18" t="inlineStr">
        <is>
          <t>TC-D5-037</t>
        </is>
      </c>
      <c r="B38" s="18" t="inlineStr">
        <is>
          <t>Campaign Preview</t>
        </is>
      </c>
      <c r="C38" s="18" t="inlineStr">
        <is>
          <t>Campaign preview shows all staged rows</t>
        </is>
      </c>
      <c r="D38" s="18" t="inlineStr">
        <is>
          <t>High</t>
        </is>
      </c>
      <c r="E38" s="18" t="inlineStr">
        <is>
          <t>Campaign modal in Preview view</t>
        </is>
      </c>
      <c r="F38" s="18" t="inlineStr">
        <is>
          <t>1. Check preview table in modal</t>
        </is>
      </c>
      <c r="G38" s="18" t="inlineStr">
        <is>
          <t>All LOB+month combos shown with FTE delta, Capacity delta columns</t>
        </is>
      </c>
      <c r="H38" s="18" t="inlineStr"/>
      <c r="I38" s="18" t="inlineStr">
        <is>
          <t>Not Tested</t>
        </is>
      </c>
      <c r="J38" s="18" t="inlineStr"/>
      <c r="K38" s="18" t="inlineStr"/>
      <c r="L38" s="18" t="inlineStr"/>
      <c r="M38" s="18" t="inlineStr"/>
    </row>
    <row r="39" ht="55" customHeight="1">
      <c r="A39" s="19" t="inlineStr">
        <is>
          <t>TC-D5-038</t>
        </is>
      </c>
      <c r="B39" s="19" t="inlineStr">
        <is>
          <t>Campaign Apply</t>
        </is>
      </c>
      <c r="C39" s="19" t="inlineStr">
        <is>
          <t>Apply all campaign ramps</t>
        </is>
      </c>
      <c r="D39" s="19" t="inlineStr">
        <is>
          <t>High</t>
        </is>
      </c>
      <c r="E39" s="19" t="inlineStr">
        <is>
          <t>Campaign modal in Preview view</t>
        </is>
      </c>
      <c r="F39" s="19" t="inlineStr">
        <is>
          <t>1. Click Confirm Apply All</t>
        </is>
      </c>
      <c r="G39" s="19" t="inlineStr">
        <is>
          <t>Result view: X applied, Y failed; campaign state cleared from context</t>
        </is>
      </c>
      <c r="H39" s="19" t="inlineStr"/>
      <c r="I39" s="19" t="inlineStr">
        <is>
          <t>Not Tested</t>
        </is>
      </c>
      <c r="J39" s="19" t="inlineStr"/>
      <c r="K39" s="19" t="inlineStr"/>
      <c r="L39" s="19" t="inlineStr"/>
      <c r="M39" s="19" t="inlineStr"/>
    </row>
    <row r="40" ht="55" customHeight="1">
      <c r="A40" s="18" t="inlineStr">
        <is>
          <t>TC-D5-039</t>
        </is>
      </c>
      <c r="B40" s="18" t="inlineStr">
        <is>
          <t>Error Handling</t>
        </is>
      </c>
      <c r="C40" s="18" t="inlineStr">
        <is>
          <t>CPH preview without row selected shows error</t>
        </is>
      </c>
      <c r="D40" s="18" t="inlineStr">
        <is>
          <t>High</t>
        </is>
      </c>
      <c r="E40" s="18" t="inlineStr">
        <is>
          <t>No forecast row selected</t>
        </is>
      </c>
      <c r="F40" s="18" t="inlineStr">
        <is>
          <t>1. Type: 'Change CPH to 50' without selecting a row</t>
        </is>
      </c>
      <c r="G40" s="18" t="inlineStr">
        <is>
          <t>Error card: 'Please select a forecast row first'</t>
        </is>
      </c>
      <c r="H40" s="18" t="inlineStr"/>
      <c r="I40" s="18" t="inlineStr">
        <is>
          <t>Not Tested</t>
        </is>
      </c>
      <c r="J40" s="18" t="inlineStr"/>
      <c r="K40" s="18" t="inlineStr"/>
      <c r="L40" s="18" t="inlineStr"/>
      <c r="M40" s="18" t="inlineStr"/>
    </row>
    <row r="41" ht="55" customHeight="1">
      <c r="A41" s="19" t="inlineStr">
        <is>
          <t>TC-D5-040</t>
        </is>
      </c>
      <c r="B41" s="19" t="inlineStr">
        <is>
          <t>Error Handling</t>
        </is>
      </c>
      <c r="C41" s="19" t="inlineStr">
        <is>
          <t>Context persists across conversation turns</t>
        </is>
      </c>
      <c r="D41" s="19" t="inlineStr">
        <is>
          <t>High</t>
        </is>
      </c>
      <c r="E41" s="19" t="inlineStr">
        <is>
          <t>Filters and row selected</t>
        </is>
      </c>
      <c r="F41" s="19" t="inlineStr">
        <is>
          <t>1. Set filters and select row
2. Send 3+ more messages
3. Verify context</t>
        </is>
      </c>
      <c r="G41" s="19" t="inlineStr">
        <is>
          <t>Month, year, filters, and selected row still maintained in context</t>
        </is>
      </c>
      <c r="H41" s="19" t="inlineStr"/>
      <c r="I41" s="19" t="inlineStr">
        <is>
          <t>Not Tested</t>
        </is>
      </c>
      <c r="J41" s="19" t="inlineStr"/>
      <c r="K41" s="19" t="inlineStr"/>
      <c r="L41" s="19" t="inlineStr"/>
      <c r="M41" s="19" t="inlineStr"/>
    </row>
  </sheetData>
  <autoFilter ref="A1:M1"/>
  <dataValidations count="2">
    <dataValidation sqref="I2:I42" showDropDown="0" showInputMessage="0" showErrorMessage="1" allowBlank="1" errorTitle="Status Error" error="Invalid status" type="list">
      <formula1>"Pass,Fail,Blocked,Not Tested,In Progress"</formula1>
    </dataValidation>
    <dataValidation sqref="D2:D42" showDropDown="0" showInputMessage="0" showErrorMessage="1" allowBlank="1" type="list">
      <formula1>"High,Medium,Low"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8" customWidth="1" min="4" max="4"/>
    <col width="12" customWidth="1" min="5" max="5"/>
    <col width="15" customWidth="1" min="6" max="6"/>
    <col width="45" customWidth="1" min="7" max="7"/>
    <col width="50" customWidth="1" min="8" max="8"/>
    <col width="35" customWidth="1" min="9" max="9"/>
    <col width="35" customWidth="1" min="10" max="10"/>
    <col width="14" customWidth="1" min="11" max="11"/>
    <col width="15" customWidth="1" min="12" max="12"/>
    <col width="30" customWidth="1" min="13" max="13"/>
  </cols>
  <sheetData>
    <row r="1" ht="30" customHeight="1">
      <c r="A1" s="20" t="inlineStr">
        <is>
          <t>Bug-ID</t>
        </is>
      </c>
      <c r="B1" s="20" t="inlineStr">
        <is>
          <t>Date Found</t>
        </is>
      </c>
      <c r="C1" s="20" t="inlineStr">
        <is>
          <t>Day</t>
        </is>
      </c>
      <c r="D1" s="20" t="inlineStr">
        <is>
          <t>Module</t>
        </is>
      </c>
      <c r="E1" s="20" t="inlineStr">
        <is>
          <t>Severity</t>
        </is>
      </c>
      <c r="F1" s="20" t="inlineStr">
        <is>
          <t>Status</t>
        </is>
      </c>
      <c r="G1" s="20" t="inlineStr">
        <is>
          <t>Description</t>
        </is>
      </c>
      <c r="H1" s="20" t="inlineStr">
        <is>
          <t>Steps to Reproduce</t>
        </is>
      </c>
      <c r="I1" s="20" t="inlineStr">
        <is>
          <t>Expected Behavior</t>
        </is>
      </c>
      <c r="J1" s="20" t="inlineStr">
        <is>
          <t>Actual Behavior</t>
        </is>
      </c>
      <c r="K1" s="20" t="inlineStr">
        <is>
          <t>Fixed On</t>
        </is>
      </c>
      <c r="L1" s="20" t="inlineStr">
        <is>
          <t>Fixed By</t>
        </is>
      </c>
      <c r="M1" s="20" t="inlineStr">
        <is>
          <t>Notes</t>
        </is>
      </c>
    </row>
    <row r="2" ht="45" customHeight="1">
      <c r="A2" s="4" t="inlineStr">
        <is>
          <t>BUG-001</t>
        </is>
      </c>
    </row>
    <row r="3" ht="45" customHeight="1">
      <c r="A3" s="21" t="inlineStr">
        <is>
          <t>BUG-002</t>
        </is>
      </c>
    </row>
    <row r="4" ht="45" customHeight="1">
      <c r="A4" s="4" t="inlineStr">
        <is>
          <t>BUG-003</t>
        </is>
      </c>
    </row>
  </sheetData>
  <autoFilter ref="A1:M1"/>
  <dataValidations count="2">
    <dataValidation sqref="E2:E500" showDropDown="0" showInputMessage="0" showErrorMessage="0" allowBlank="1" type="list">
      <formula1>"Critical,High,Medium,Low"</formula1>
    </dataValidation>
    <dataValidation sqref="F2:F500" showDropDown="0" showInputMessage="0" showErrorMessage="0" allowBlank="1" type="list">
      <formula1>"Open,In Progress,Fixed,Won't Fix,Cannot Reproduce"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5" customHeight="1">
      <c r="A1" s="1" t="inlineStr">
        <is>
          <t>Centene Forecasting — Test Execution Report</t>
        </is>
      </c>
    </row>
    <row r="2">
      <c r="A2" s="22" t="inlineStr">
        <is>
          <t>Auto-calculated from Day 1-5 sheets  |  Update Status column in each day sheet to see results refresh</t>
        </is>
      </c>
    </row>
    <row r="4">
      <c r="A4" s="23" t="inlineStr">
        <is>
          <t>SECTION 1: Daily Test Execution Summary</t>
        </is>
      </c>
    </row>
    <row r="5">
      <c r="A5" s="6" t="inlineStr">
        <is>
          <t>Day</t>
        </is>
      </c>
      <c r="B5" s="6" t="inlineStr">
        <is>
          <t>Focus Area</t>
        </is>
      </c>
      <c r="C5" s="6" t="inlineStr">
        <is>
          <t>Total TCs</t>
        </is>
      </c>
      <c r="D5" s="6" t="inlineStr">
        <is>
          <t>Pass</t>
        </is>
      </c>
      <c r="E5" s="6" t="inlineStr">
        <is>
          <t>Fail</t>
        </is>
      </c>
      <c r="F5" s="6" t="inlineStr">
        <is>
          <t>Blocked</t>
        </is>
      </c>
      <c r="G5" s="6" t="inlineStr">
        <is>
          <t>Not Tested</t>
        </is>
      </c>
      <c r="H5" s="6" t="inlineStr">
        <is>
          <t>Pass %</t>
        </is>
      </c>
      <c r="I5" s="6" t="inlineStr">
        <is>
          <t>Bug-Fix Hours</t>
        </is>
      </c>
    </row>
    <row r="6">
      <c r="A6" s="24" t="inlineStr">
        <is>
          <t>Day 1</t>
        </is>
      </c>
      <c r="B6" s="24" t="inlineStr">
        <is>
          <t>Auth · Navigation · File Uploads · WebSocket</t>
        </is>
      </c>
      <c r="C6" s="24" t="n">
        <v>25</v>
      </c>
      <c r="D6" s="24">
        <f>COUNTIF('Day1 - Auth &amp; Upload'!I:I,"Pass")</f>
        <v/>
      </c>
      <c r="E6" s="24">
        <f>COUNTIF('Day1 - Auth &amp; Upload'!I:I,"Fail")</f>
        <v/>
      </c>
      <c r="F6" s="24">
        <f>COUNTIF('Day1 - Auth &amp; Upload'!I:I,"Blocked")</f>
        <v/>
      </c>
      <c r="G6" s="24">
        <f>COUNTIF('Day1 - Auth &amp; Upload'!I:I,"Not Tested")</f>
        <v/>
      </c>
      <c r="H6" s="25">
        <f>IF(C6=0,0,D6/C6)</f>
        <v/>
      </c>
      <c r="I6" s="24" t="inlineStr">
        <is>
          <t>2.4h</t>
        </is>
      </c>
    </row>
    <row r="7">
      <c r="A7" s="26" t="inlineStr">
        <is>
          <t>Day 2</t>
        </is>
      </c>
      <c r="B7" s="26" t="inlineStr">
        <is>
          <t>Data View · Cascade Filters · Download</t>
        </is>
      </c>
      <c r="C7" s="26" t="n">
        <v>30</v>
      </c>
      <c r="D7" s="26">
        <f>COUNTIF('Day2 - Data View'!I:I,"Pass")</f>
        <v/>
      </c>
      <c r="E7" s="26">
        <f>COUNTIF('Day2 - Data View'!I:I,"Fail")</f>
        <v/>
      </c>
      <c r="F7" s="26">
        <f>COUNTIF('Day2 - Data View'!I:I,"Blocked")</f>
        <v/>
      </c>
      <c r="G7" s="26">
        <f>COUNTIF('Day2 - Data View'!I:I,"Not Tested")</f>
        <v/>
      </c>
      <c r="H7" s="27">
        <f>IF(C7=0,0,D7/C7)</f>
        <v/>
      </c>
      <c r="I7" s="26" t="inlineStr">
        <is>
          <t>2.4h</t>
        </is>
      </c>
    </row>
    <row r="8">
      <c r="A8" s="24" t="inlineStr">
        <is>
          <t>Day 3</t>
        </is>
      </c>
      <c r="B8" s="24" t="inlineStr">
        <is>
          <t>Manager View · Execution Monitoring · Configuration</t>
        </is>
      </c>
      <c r="C8" s="24" t="n">
        <v>35</v>
      </c>
      <c r="D8" s="24">
        <f>COUNTIF('Day3 - Dashboards'!I:I,"Pass")</f>
        <v/>
      </c>
      <c r="E8" s="24">
        <f>COUNTIF('Day3 - Dashboards'!I:I,"Fail")</f>
        <v/>
      </c>
      <c r="F8" s="24">
        <f>COUNTIF('Day3 - Dashboards'!I:I,"Blocked")</f>
        <v/>
      </c>
      <c r="G8" s="24">
        <f>COUNTIF('Day3 - Dashboards'!I:I,"Not Tested")</f>
        <v/>
      </c>
      <c r="H8" s="25">
        <f>IF(C8=0,0,D8/C8)</f>
        <v/>
      </c>
      <c r="I8" s="24" t="inlineStr">
        <is>
          <t>2.4h</t>
        </is>
      </c>
    </row>
    <row r="9">
      <c r="A9" s="26" t="inlineStr">
        <is>
          <t>Day 4 ⭐</t>
        </is>
      </c>
      <c r="B9" s="26" t="inlineStr">
        <is>
          <t>Edit View · Bench Allocation · Target CPH · History Log</t>
        </is>
      </c>
      <c r="C9" s="26" t="n">
        <v>30</v>
      </c>
      <c r="D9" s="26">
        <f>COUNTIF('Day4 - Edit &amp; Alloc'!I:I,"Pass")</f>
        <v/>
      </c>
      <c r="E9" s="26">
        <f>COUNTIF('Day4 - Edit &amp; Alloc'!I:I,"Fail")</f>
        <v/>
      </c>
      <c r="F9" s="26">
        <f>COUNTIF('Day4 - Edit &amp; Alloc'!I:I,"Blocked")</f>
        <v/>
      </c>
      <c r="G9" s="26">
        <f>COUNTIF('Day4 - Edit &amp; Alloc'!I:I,"Not Tested")</f>
        <v/>
      </c>
      <c r="H9" s="27">
        <f>IF(C9=0,0,D9/C9)</f>
        <v/>
      </c>
      <c r="I9" s="26" t="inlineStr">
        <is>
          <t>2.4h</t>
        </is>
      </c>
    </row>
    <row r="10">
      <c r="A10" s="24" t="inlineStr">
        <is>
          <t>Day 5 ⭐</t>
        </is>
      </c>
      <c r="B10" s="24" t="inlineStr">
        <is>
          <t>Chat Assistant · CPH Update · All Ramp Flows</t>
        </is>
      </c>
      <c r="C10" s="24" t="n">
        <v>40</v>
      </c>
      <c r="D10" s="24">
        <f>COUNTIF('Day5 - Chat &amp; Ramp'!I:I,"Pass")</f>
        <v/>
      </c>
      <c r="E10" s="24">
        <f>COUNTIF('Day5 - Chat &amp; Ramp'!I:I,"Fail")</f>
        <v/>
      </c>
      <c r="F10" s="24">
        <f>COUNTIF('Day5 - Chat &amp; Ramp'!I:I,"Blocked")</f>
        <v/>
      </c>
      <c r="G10" s="24">
        <f>COUNTIF('Day5 - Chat &amp; Ramp'!I:I,"Not Tested")</f>
        <v/>
      </c>
      <c r="H10" s="25">
        <f>IF(C10=0,0,D10/C10)</f>
        <v/>
      </c>
      <c r="I10" s="24" t="inlineStr">
        <is>
          <t>2.4h</t>
        </is>
      </c>
    </row>
    <row r="11">
      <c r="A11" s="28" t="inlineStr">
        <is>
          <t>TOTAL</t>
        </is>
      </c>
      <c r="B11" s="28" t="inlineStr">
        <is>
          <t>All 5 Days</t>
        </is>
      </c>
      <c r="C11" s="28">
        <f>SUM(C6:C10)</f>
        <v/>
      </c>
      <c r="D11" s="28">
        <f>SUM(D6:D10)</f>
        <v/>
      </c>
      <c r="E11" s="28">
        <f>SUM(E6:E10)</f>
        <v/>
      </c>
      <c r="F11" s="28">
        <f>SUM(F6:F10)</f>
        <v/>
      </c>
      <c r="G11" s="28">
        <f>SUM(G6:G10)</f>
        <v/>
      </c>
      <c r="H11" s="29">
        <f>IF(C11=0,0,D11/C11)</f>
        <v/>
      </c>
      <c r="I11" s="28" t="inlineStr">
        <is>
          <t>12h</t>
        </is>
      </c>
    </row>
    <row r="13">
      <c r="A13" s="23" t="inlineStr">
        <is>
          <t>SECTION 2: Bug Severity Breakdown</t>
        </is>
      </c>
    </row>
    <row r="14">
      <c r="A14" s="6" t="inlineStr">
        <is>
          <t>Severity</t>
        </is>
      </c>
      <c r="B14" s="6" t="inlineStr">
        <is>
          <t>Count</t>
        </is>
      </c>
      <c r="C14" s="6" t="inlineStr">
        <is>
          <t>% of Total</t>
        </is>
      </c>
    </row>
    <row r="15">
      <c r="A15" s="21" t="inlineStr">
        <is>
          <t>Critical</t>
        </is>
      </c>
      <c r="B15" s="30">
        <f>COUNTIF('Bug Tracker'!E:E,A15)</f>
        <v/>
      </c>
      <c r="C15" s="31">
        <f>IF(SUM(B15:B18)=0,0,B15/SUM($B$15:$B$18))</f>
        <v/>
      </c>
    </row>
    <row r="16">
      <c r="A16" s="4" t="inlineStr">
        <is>
          <t>High</t>
        </is>
      </c>
      <c r="B16" s="32">
        <f>COUNTIF('Bug Tracker'!E:E,A16)</f>
        <v/>
      </c>
      <c r="C16" s="33">
        <f>IF(SUM(B15:B18)=0,0,B16/SUM($B$15:$B$18))</f>
        <v/>
      </c>
    </row>
    <row r="17">
      <c r="A17" s="21" t="inlineStr">
        <is>
          <t>Medium</t>
        </is>
      </c>
      <c r="B17" s="30">
        <f>COUNTIF('Bug Tracker'!E:E,A17)</f>
        <v/>
      </c>
      <c r="C17" s="31">
        <f>IF(SUM(B15:B18)=0,0,B17/SUM($B$15:$B$18))</f>
        <v/>
      </c>
    </row>
    <row r="18">
      <c r="A18" s="4" t="inlineStr">
        <is>
          <t>Low</t>
        </is>
      </c>
      <c r="B18" s="32">
        <f>COUNTIF('Bug Tracker'!E:E,A18)</f>
        <v/>
      </c>
      <c r="C18" s="33">
        <f>IF(SUM(B15:B18)=0,0,B18/SUM($B$15:$B$18))</f>
        <v/>
      </c>
    </row>
    <row r="19">
      <c r="A19" s="34" t="inlineStr">
        <is>
          <t>TOTAL</t>
        </is>
      </c>
      <c r="B19" s="34">
        <f>SUM(B15:B18)</f>
        <v/>
      </c>
      <c r="C19" s="35">
        <f>IF(B19=0,0,1)</f>
        <v/>
      </c>
    </row>
    <row r="21">
      <c r="A21" s="23" t="inlineStr">
        <is>
          <t>SECTION 3: Test Summary Metrics</t>
        </is>
      </c>
    </row>
    <row r="22">
      <c r="A22" s="4" t="inlineStr">
        <is>
          <t>Total Test Cases</t>
        </is>
      </c>
      <c r="B22" s="36" t="n">
        <v>160</v>
      </c>
    </row>
    <row r="23">
      <c r="A23" s="21" t="inlineStr">
        <is>
          <t>Total Testing Hours</t>
        </is>
      </c>
      <c r="B23" s="37" t="inlineStr">
        <is>
          <t>28h</t>
        </is>
      </c>
    </row>
    <row r="24">
      <c r="A24" s="4" t="inlineStr">
        <is>
          <t>Total Bug Fix Hours</t>
        </is>
      </c>
      <c r="B24" s="36" t="inlineStr">
        <is>
          <t>12h</t>
        </is>
      </c>
    </row>
    <row r="25">
      <c r="A25" s="21" t="inlineStr">
        <is>
          <t>Roles Tested</t>
        </is>
      </c>
      <c r="B25" s="37" t="inlineStr">
        <is>
          <t>EDITOR &amp; ADMIN</t>
        </is>
      </c>
    </row>
    <row r="26">
      <c r="A26" s="4" t="inlineStr">
        <is>
          <t>Priority Bug Areas</t>
        </is>
      </c>
      <c r="B26" s="36" t="inlineStr">
        <is>
          <t>Edit/Allocation, Chat/Ramp Flows, File Uploads</t>
        </is>
      </c>
    </row>
    <row r="29">
      <c r="A29" s="23" t="inlineStr">
        <is>
          <t>SECTION 4: High Priority Areas Status</t>
        </is>
      </c>
    </row>
    <row r="30">
      <c r="A30" s="6" t="inlineStr">
        <is>
          <t>Day</t>
        </is>
      </c>
      <c r="B30" s="6" t="inlineStr">
        <is>
          <t>Area</t>
        </is>
      </c>
      <c r="C30" s="6" t="inlineStr">
        <is>
          <t>Total TCs</t>
        </is>
      </c>
      <c r="D30" s="6" t="inlineStr">
        <is>
          <t>Pass</t>
        </is>
      </c>
      <c r="E30" s="6" t="inlineStr">
        <is>
          <t>Fail</t>
        </is>
      </c>
      <c r="F30" s="6" t="inlineStr">
        <is>
          <t>Pass %</t>
        </is>
      </c>
    </row>
    <row r="31">
      <c r="A31" s="30" t="inlineStr">
        <is>
          <t>Day 4 ⭐</t>
        </is>
      </c>
      <c r="B31" s="30" t="inlineStr">
        <is>
          <t>Edit View &amp; Allocation Features</t>
        </is>
      </c>
      <c r="C31" s="30">
        <f>C9</f>
        <v/>
      </c>
      <c r="D31" s="30">
        <f>D9</f>
        <v/>
      </c>
      <c r="E31" s="30">
        <f>E9</f>
        <v/>
      </c>
      <c r="F31" s="31">
        <f>H9</f>
        <v/>
      </c>
    </row>
    <row r="32">
      <c r="A32" s="32" t="inlineStr">
        <is>
          <t>Day 5 ⭐</t>
        </is>
      </c>
      <c r="B32" s="32" t="inlineStr">
        <is>
          <t>Chat Assistant &amp; Ramp Flows</t>
        </is>
      </c>
      <c r="C32" s="32">
        <f>C10</f>
        <v/>
      </c>
      <c r="D32" s="32">
        <f>D10</f>
        <v/>
      </c>
      <c r="E32" s="32">
        <f>E10</f>
        <v/>
      </c>
      <c r="F32" s="33">
        <f>H10</f>
        <v/>
      </c>
    </row>
  </sheetData>
  <mergeCells count="6">
    <mergeCell ref="A2:I2"/>
    <mergeCell ref="A21:D21"/>
    <mergeCell ref="A1:I1"/>
    <mergeCell ref="A4:I4"/>
    <mergeCell ref="A29:F29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2026-04-24T10:00:21Z</dcterms:created>
  <dcterms:modified xsi:type="dcterms:W3CDTF">2026-04-24T10:00:21Z</dcterms:modified>
</cp:coreProperties>
</file>